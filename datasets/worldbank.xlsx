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BASD 25/Admin/Subs - A2 World Region Analysis (DD)/"/>
    </mc:Choice>
  </mc:AlternateContent>
  <xr:revisionPtr revIDLastSave="0" documentId="13_ncr:1_{0E85A9F2-C7DF-3546-880D-3C052055CDE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6" r:id="rId1"/>
    <sheet name="data dictionary" sheetId="7" r:id="rId2"/>
  </sheets>
  <definedNames>
    <definedName name="_xlnm._FilterDatabase" localSheetId="0" hidden="1">data!$A$1:$Y$220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6" i="6" l="1"/>
  <c r="Z217" i="6"/>
  <c r="Z218" i="6"/>
  <c r="Z219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" i="6"/>
  <c r="Z3" i="6"/>
  <c r="Z5" i="6"/>
  <c r="Z6" i="6"/>
  <c r="Z7" i="6"/>
  <c r="S220" i="6"/>
  <c r="G220" i="6" l="1"/>
  <c r="H220" i="6"/>
  <c r="H222" i="6" s="1"/>
  <c r="I220" i="6"/>
  <c r="J220" i="6"/>
  <c r="K220" i="6"/>
  <c r="L220" i="6"/>
  <c r="M220" i="6"/>
  <c r="N220" i="6"/>
  <c r="O220" i="6"/>
  <c r="P220" i="6"/>
  <c r="Q220" i="6"/>
  <c r="R220" i="6"/>
  <c r="T220" i="6"/>
  <c r="U220" i="6"/>
  <c r="V220" i="6"/>
  <c r="W220" i="6"/>
  <c r="X220" i="6"/>
  <c r="Y220" i="6"/>
  <c r="F220" i="6"/>
  <c r="E220" i="6"/>
  <c r="Z4" i="6" l="1"/>
  <c r="Z121" i="6"/>
  <c r="Z173" i="6"/>
  <c r="Z220" i="6"/>
</calcChain>
</file>

<file path=xl/sharedStrings.xml><?xml version="1.0" encoding="utf-8"?>
<sst xmlns="http://schemas.openxmlformats.org/spreadsheetml/2006/main" count="753" uniqueCount="524">
  <si>
    <t>Trade (% of GDP)</t>
  </si>
  <si>
    <t>Population ages 0-14 (% of total population)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</si>
  <si>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</si>
  <si>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</si>
  <si>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</si>
  <si>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</si>
  <si>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</si>
  <si>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</si>
  <si>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</si>
  <si>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</si>
  <si>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</si>
  <si>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</si>
  <si>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</si>
  <si>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</si>
  <si>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</si>
  <si>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</si>
  <si>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</si>
  <si>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</si>
  <si>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</si>
  <si>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</si>
  <si>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</si>
  <si>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</si>
  <si>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</si>
  <si>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</si>
  <si>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</si>
  <si>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</si>
  <si>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</si>
  <si>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</si>
  <si>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</si>
  <si>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</si>
  <si>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</si>
  <si>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</si>
  <si>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</si>
  <si>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</si>
  <si>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</si>
  <si>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</si>
  <si>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</si>
  <si>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</si>
  <si>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</si>
  <si>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</si>
  <si>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</si>
  <si>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</si>
  <si>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</si>
  <si>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</si>
  <si>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</si>
  <si>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</si>
  <si>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</si>
  <si>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</si>
  <si>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</si>
  <si>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</si>
  <si>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</si>
  <si>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</si>
  <si>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</si>
  <si>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</si>
  <si>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</si>
  <si>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</si>
  <si>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</si>
  <si>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</si>
  <si>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</si>
  <si>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</si>
  <si>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</si>
  <si>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</si>
  <si>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</si>
  <si>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</si>
  <si>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</si>
  <si>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</si>
  <si>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</si>
  <si>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</si>
  <si>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</si>
  <si>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</si>
  <si>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</si>
  <si>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</si>
  <si>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</si>
  <si>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</si>
  <si>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</si>
  <si>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</si>
  <si>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</si>
  <si>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</si>
  <si>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</si>
  <si>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</si>
  <si>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</si>
  <si>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</si>
  <si>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</si>
  <si>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</si>
  <si>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</si>
  <si>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</si>
  <si>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</si>
  <si>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</si>
  <si>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</si>
  <si>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</si>
  <si>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</si>
  <si>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</si>
  <si>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</si>
  <si>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</si>
  <si>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</si>
  <si>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</si>
  <si>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</si>
  <si>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</si>
  <si>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</si>
  <si>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</si>
  <si>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</si>
  <si>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</si>
  <si>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KIR</t>
  </si>
  <si>
    <t>KNA</t>
  </si>
  <si>
    <t>KOR</t>
  </si>
  <si>
    <t>KWT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</si>
  <si>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</si>
  <si>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</si>
  <si>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</si>
  <si>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</si>
  <si>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</si>
  <si>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</si>
  <si>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</si>
  <si>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</si>
  <si>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</si>
  <si>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</si>
  <si>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</si>
  <si>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</si>
  <si>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</si>
  <si>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</si>
  <si>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</si>
  <si>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</si>
  <si>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</si>
  <si>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MHL</t>
  </si>
  <si>
    <t>MKD</t>
  </si>
  <si>
    <t>MLI</t>
  </si>
  <si>
    <t>MLT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</si>
  <si>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</si>
  <si>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</si>
  <si>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</si>
  <si>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</si>
  <si>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</si>
  <si>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</si>
  <si>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</si>
  <si>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</si>
  <si>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</si>
  <si>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</si>
  <si>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</si>
  <si>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</si>
  <si>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</si>
  <si>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</si>
  <si>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</si>
  <si>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</si>
  <si>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</si>
  <si>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</si>
  <si>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</si>
  <si>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</si>
  <si>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</si>
  <si>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</si>
  <si>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</si>
  <si>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</si>
  <si>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</si>
  <si>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</si>
  <si>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</si>
  <si>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</si>
  <si>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</si>
  <si>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</si>
  <si>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</si>
  <si>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</si>
  <si>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</si>
  <si>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</si>
  <si>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</si>
  <si>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</si>
  <si>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</si>
  <si>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</si>
  <si>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</si>
  <si>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</si>
  <si>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</si>
  <si>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</si>
  <si>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</si>
  <si>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</si>
  <si>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</si>
  <si>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</si>
  <si>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</si>
  <si>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</si>
  <si>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</si>
  <si>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</si>
  <si>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</si>
  <si>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</si>
  <si>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</si>
  <si>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</si>
  <si>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</si>
  <si>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</si>
  <si>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TJK</t>
  </si>
  <si>
    <t>TKM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</si>
  <si>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</si>
  <si>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</si>
  <si>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</si>
  <si>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</si>
  <si>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</si>
  <si>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</si>
  <si>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</si>
  <si>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</si>
  <si>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</si>
  <si>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</si>
  <si>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UZB</t>
  </si>
  <si>
    <t>VCT</t>
  </si>
  <si>
    <t>VEN</t>
  </si>
  <si>
    <t>VGB</t>
  </si>
  <si>
    <t>VIR</t>
  </si>
  <si>
    <t>VUT</t>
  </si>
  <si>
    <t>WSM</t>
  </si>
  <si>
    <t>XKX</t>
  </si>
  <si>
    <t>YEM</t>
  </si>
  <si>
    <t>ZAF</t>
  </si>
  <si>
    <t>ZMB</t>
  </si>
  <si>
    <t>ZWE</t>
  </si>
  <si>
    <t>Youth Literacy Rate</t>
  </si>
  <si>
    <t>Adolescent Fertility Rate</t>
  </si>
  <si>
    <t>Technology Exports</t>
  </si>
  <si>
    <t>Fertility Rate</t>
  </si>
  <si>
    <t>Population</t>
  </si>
  <si>
    <t>CO2 Emissions</t>
  </si>
  <si>
    <t>Working Population</t>
  </si>
  <si>
    <t>International Tourism</t>
  </si>
  <si>
    <t>GDP PPP</t>
  </si>
  <si>
    <t>Primary School Enrollment Rate</t>
  </si>
  <si>
    <t>Life Expectancy</t>
  </si>
  <si>
    <t>Internet Usage (%)</t>
  </si>
  <si>
    <t>Population (Urban %)</t>
  </si>
  <si>
    <t>Crime Victims</t>
  </si>
  <si>
    <t>Feel Unsafe In Home</t>
  </si>
  <si>
    <t>Population (Rural %)</t>
  </si>
  <si>
    <t>Toursim (Digital Demand)</t>
  </si>
  <si>
    <t>GCI</t>
  </si>
  <si>
    <t>Renewable Energy Score</t>
  </si>
  <si>
    <t>Aruba</t>
  </si>
  <si>
    <t>Afghanistan</t>
  </si>
  <si>
    <t>Angola</t>
  </si>
  <si>
    <t>Albania</t>
  </si>
  <si>
    <t>Andorra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</si>
  <si>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</si>
  <si>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</si>
  <si>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</si>
  <si>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</si>
  <si>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</si>
  <si>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</si>
  <si>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</si>
  <si>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</si>
  <si>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</si>
  <si>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</si>
  <si>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</si>
  <si>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</si>
  <si>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</si>
  <si>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</si>
  <si>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</si>
  <si>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</si>
  <si>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</si>
  <si>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Bermuda</t>
  </si>
  <si>
    <t>Brazil</t>
  </si>
  <si>
    <t>Barbados</t>
  </si>
  <si>
    <t>Brunei Darussalam</t>
  </si>
  <si>
    <t>Bhutan</t>
  </si>
  <si>
    <t>Botswana</t>
  </si>
  <si>
    <t>Switzerland</t>
  </si>
  <si>
    <t>Chile</t>
  </si>
  <si>
    <t>China</t>
  </si>
  <si>
    <t>Côte d'Ivoire</t>
  </si>
  <si>
    <t>Cameroon</t>
  </si>
  <si>
    <t>Colombia</t>
  </si>
  <si>
    <t>Cabo Verde</t>
  </si>
  <si>
    <t>Costa Rica</t>
  </si>
  <si>
    <t>Cuba</t>
  </si>
  <si>
    <t>Curaçao</t>
  </si>
  <si>
    <t>Cyprus</t>
  </si>
  <si>
    <t>Czechia</t>
  </si>
  <si>
    <t>Germany</t>
  </si>
  <si>
    <t>Djibouti</t>
  </si>
  <si>
    <t>Dominica</t>
  </si>
  <si>
    <t>Denmark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</si>
  <si>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</si>
  <si>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</si>
  <si>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</si>
  <si>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</si>
  <si>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</si>
  <si>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</si>
  <si>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</si>
  <si>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</si>
  <si>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</si>
  <si>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</si>
  <si>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Gabon</t>
  </si>
  <si>
    <t>Georgia</t>
  </si>
  <si>
    <t>Ghana</t>
  </si>
  <si>
    <t>Gibraltar</t>
  </si>
  <si>
    <t>Guinea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</si>
  <si>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</si>
  <si>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</si>
  <si>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</si>
  <si>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</si>
  <si>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</si>
  <si>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</si>
  <si>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</si>
  <si>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</si>
  <si>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</t>
  </si>
  <si>
    <t>Honduras</t>
  </si>
  <si>
    <t>Croatia</t>
  </si>
  <si>
    <t>Haiti</t>
  </si>
  <si>
    <t>Hungary</t>
  </si>
  <si>
    <t>Isle of Man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</si>
  <si>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</si>
  <si>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</si>
  <si>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</si>
  <si>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</si>
  <si>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</si>
  <si>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</si>
  <si>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</si>
  <si>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</si>
  <si>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</si>
  <si>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</si>
  <si>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</si>
  <si>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</si>
  <si>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Kiribati</t>
  </si>
  <si>
    <t>Saint Kitts and Nevis</t>
  </si>
  <si>
    <t>Kuwait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</si>
  <si>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</si>
  <si>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</si>
  <si>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</si>
  <si>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</si>
  <si>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</si>
  <si>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</si>
  <si>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</si>
  <si>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</si>
  <si>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</si>
  <si>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</si>
  <si>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</si>
  <si>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Saint Martin (French part)</t>
  </si>
  <si>
    <t>Morocco</t>
  </si>
  <si>
    <t>Monaco</t>
  </si>
  <si>
    <t>Madagascar</t>
  </si>
  <si>
    <t>Maldives</t>
  </si>
  <si>
    <t>Republic of North Macedonia</t>
  </si>
  <si>
    <t>Mali</t>
  </si>
  <si>
    <t>Malta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</si>
  <si>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</si>
  <si>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</si>
  <si>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</si>
  <si>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</si>
  <si>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</si>
  <si>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</si>
  <si>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</si>
  <si>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</si>
  <si>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</si>
  <si>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Nigeria</t>
  </si>
  <si>
    <t>Nicaragua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</si>
  <si>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</si>
  <si>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</si>
  <si>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</si>
  <si>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</si>
  <si>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</si>
  <si>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</si>
  <si>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</si>
  <si>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</si>
  <si>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Palau</t>
  </si>
  <si>
    <t>Papua New Guinea</t>
  </si>
  <si>
    <t>Poland</t>
  </si>
  <si>
    <t>Portugal</t>
  </si>
  <si>
    <t>Paraguay</t>
  </si>
  <si>
    <t>Palestine, State of</t>
  </si>
  <si>
    <t>French Polynesia</t>
  </si>
  <si>
    <t>Qatar</t>
  </si>
  <si>
    <t>Romania</t>
  </si>
  <si>
    <t>Rwanda</t>
  </si>
  <si>
    <t>Saudi Arabia</t>
  </si>
  <si>
    <t>Senegal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</si>
  <si>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</si>
  <si>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</si>
  <si>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</si>
  <si>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</si>
  <si>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</si>
  <si>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</si>
  <si>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</si>
  <si>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</si>
  <si>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</si>
  <si>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</si>
  <si>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</si>
  <si>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</si>
  <si>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</si>
  <si>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</si>
  <si>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</si>
  <si>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Syrian Arab Republic</t>
  </si>
  <si>
    <t>Chad</t>
  </si>
  <si>
    <t>Togo</t>
  </si>
  <si>
    <t>Tajikistan</t>
  </si>
  <si>
    <t>Turkmenistan</t>
  </si>
  <si>
    <t>Tonga</t>
  </si>
  <si>
    <t>Trinidad and Tobago</t>
  </si>
  <si>
    <t>Tunisia</t>
  </si>
  <si>
    <t>Turkey</t>
  </si>
  <si>
    <t>Tuvalu</t>
  </si>
  <si>
    <t>Taiwan (Province of China)</t>
  </si>
  <si>
    <t>Tanzania, United Republic of</t>
  </si>
  <si>
    <t>Uganda</t>
  </si>
  <si>
    <t>Ukraine</t>
  </si>
  <si>
    <t>Uruguay</t>
  </si>
  <si>
    <t>Uzbekistan</t>
  </si>
  <si>
    <t>Saint Vincent and the Grenadines</t>
  </si>
  <si>
    <t>Virgin Islands (British)</t>
  </si>
  <si>
    <t>Virgin Islands (U.S.)</t>
  </si>
  <si>
    <t>Vanuatu</t>
  </si>
  <si>
    <t>Samoa</t>
  </si>
  <si>
    <t>Yemen</t>
  </si>
  <si>
    <t>South Africa</t>
  </si>
  <si>
    <t>Zambia</t>
  </si>
  <si>
    <t>Zimbabwe</t>
  </si>
  <si>
    <t>Code</t>
  </si>
  <si>
    <t>Channel Islands</t>
  </si>
  <si>
    <t>Republic of Kosovo</t>
  </si>
  <si>
    <t>Bolivia</t>
  </si>
  <si>
    <t>United Arab Emirates</t>
  </si>
  <si>
    <t>Central African Republic</t>
  </si>
  <si>
    <t>Congo (Democratic Republic)</t>
  </si>
  <si>
    <t>Congo</t>
  </si>
  <si>
    <t>Comoros</t>
  </si>
  <si>
    <t>Cayman Islands</t>
  </si>
  <si>
    <t>Dominican Republic</t>
  </si>
  <si>
    <t>Faroe Islands</t>
  </si>
  <si>
    <t>United Kingdom</t>
  </si>
  <si>
    <t>Gambia</t>
  </si>
  <si>
    <t>Moldova</t>
  </si>
  <si>
    <t>Marshall Islands</t>
  </si>
  <si>
    <t>Iran</t>
  </si>
  <si>
    <t>Micronesia</t>
  </si>
  <si>
    <t>Bahamas</t>
  </si>
  <si>
    <t>Northern Mariana Islands</t>
  </si>
  <si>
    <t>Niger</t>
  </si>
  <si>
    <t>Netherlands</t>
  </si>
  <si>
    <t>North Korea</t>
  </si>
  <si>
    <t>South Korea</t>
  </si>
  <si>
    <t>Russian Federation</t>
  </si>
  <si>
    <t>Turks and Caicos Islands</t>
  </si>
  <si>
    <t>Venezuela</t>
  </si>
  <si>
    <t>Western Europe</t>
  </si>
  <si>
    <t>Southern Africa</t>
  </si>
  <si>
    <t>Sudan</t>
  </si>
  <si>
    <t>Central Africa</t>
  </si>
  <si>
    <t>Northern Africa and Mediterranean</t>
  </si>
  <si>
    <t>Eastern Europe</t>
  </si>
  <si>
    <t>Northern Asia</t>
  </si>
  <si>
    <t>Oceania</t>
  </si>
  <si>
    <t>Obs</t>
  </si>
  <si>
    <t>Eastern Africa and Middle East</t>
  </si>
  <si>
    <t>Country/Territory</t>
  </si>
  <si>
    <t>Metric</t>
  </si>
  <si>
    <t>Metric (Short)</t>
  </si>
  <si>
    <t>Metric (Formal)</t>
  </si>
  <si>
    <t>Definition</t>
  </si>
  <si>
    <t>Adolescent fertility rate (births per 1,000 women ages 15-19)</t>
  </si>
  <si>
    <t>Births per 1,000 women between 15-19 years old.</t>
  </si>
  <si>
    <t>WB_GS_SE_ADT (Youth Literacy Rate)</t>
  </si>
  <si>
    <t>Literacy rate of people between 15-18 years old.</t>
  </si>
  <si>
    <t>High-technology exports (current US$)</t>
  </si>
  <si>
    <t>Exports of high technology expressed in US dollars.</t>
  </si>
  <si>
    <t>Fertility rate, total (births per woman)</t>
  </si>
  <si>
    <t>Total births per woman.</t>
  </si>
  <si>
    <t>Population, total</t>
  </si>
  <si>
    <t>Total population as per the most recent census.</t>
  </si>
  <si>
    <t>WB_SSGD_CO2_EMISSIONS (2020)</t>
  </si>
  <si>
    <t>Carbon emissions in metric tons (1000s).</t>
  </si>
  <si>
    <t>Population ages 15-64, total</t>
  </si>
  <si>
    <t>Population between 15-64 years old.</t>
  </si>
  <si>
    <t>International tourism, expenditures (% of total imports)</t>
  </si>
  <si>
    <t>International tourism as a percentage of total imports.</t>
  </si>
  <si>
    <t>WEF_GCI_GDPPPPC (2019)</t>
  </si>
  <si>
    <t>Gross domestic product expressed in purchasing power parity.</t>
  </si>
  <si>
    <t>Adjusted net enrollment rate, primary (% of primary school age children)</t>
  </si>
  <si>
    <t>Percentage of primary school age children enrolled in school.</t>
  </si>
  <si>
    <t>WEF_GCIHH_LIFEEXPECT (2017)</t>
  </si>
  <si>
    <t>Life expectancy at birth in years.</t>
  </si>
  <si>
    <t>Energy (Fossil)</t>
  </si>
  <si>
    <t>Fossil fuel energy consumption (% of total)</t>
  </si>
  <si>
    <t>Fossil fuel consumption as a percentage of total energy.</t>
  </si>
  <si>
    <t>Urban population (% of total population)</t>
  </si>
  <si>
    <t>Percentage of urban population.</t>
  </si>
  <si>
    <t>WEF_TTDI_NETUSERPCT (2024)</t>
  </si>
  <si>
    <t>Percentage of internet users.</t>
  </si>
  <si>
    <t>Trade as a percentage of GDP.</t>
  </si>
  <si>
    <t>WB_SSGD_PCT_POP_UNSAFE_HOME (Total Population)</t>
  </si>
  <si>
    <t>Total population that claimed to feel unsafe in their home.</t>
  </si>
  <si>
    <t>WB_SSGD_PCT_POP_CRIME_VICTIM (2018)</t>
  </si>
  <si>
    <t>Percentage of population that has been a victim of a crime.</t>
  </si>
  <si>
    <t>Rural population (% of total population)</t>
  </si>
  <si>
    <t>Percentage of rural population.</t>
  </si>
  <si>
    <t>Population (Youth %)</t>
  </si>
  <si>
    <t>Percentage of population between 0-14 years old.</t>
  </si>
  <si>
    <t>WEF_TTDI_NATOURDEM (2024)</t>
  </si>
  <si>
    <t>Natural tourism digital demand 0-100 (Best)</t>
  </si>
  <si>
    <t>WEF_GCIHH_GCI (Index Score)</t>
  </si>
  <si>
    <t>Global Competitiveness Index (higher is more competitive)</t>
  </si>
  <si>
    <t>WB_RISE_RE_ALL</t>
  </si>
  <si>
    <t>Renewable Energy Score (RISE) reflect a snapshot of a country’s policies and regulations in the energy sector (higher is better).</t>
  </si>
  <si>
    <t>Region</t>
  </si>
  <si>
    <t>Cambodia</t>
  </si>
  <si>
    <t>KHM</t>
  </si>
  <si>
    <t>Canada</t>
  </si>
  <si>
    <t>CAN</t>
  </si>
  <si>
    <t>Indonesia</t>
  </si>
  <si>
    <t>IDN</t>
  </si>
  <si>
    <t>Laos</t>
  </si>
  <si>
    <t>LAO</t>
  </si>
  <si>
    <t>Mexico</t>
  </si>
  <si>
    <t>MEX</t>
  </si>
  <si>
    <t>Myanmar</t>
  </si>
  <si>
    <t>MMR</t>
  </si>
  <si>
    <t>Philippines</t>
  </si>
  <si>
    <t>PHL</t>
  </si>
  <si>
    <t>Puerto Rico</t>
  </si>
  <si>
    <t>PRI</t>
  </si>
  <si>
    <t>Singapore</t>
  </si>
  <si>
    <t>SGP</t>
  </si>
  <si>
    <t>Thailand</t>
  </si>
  <si>
    <t>THA</t>
  </si>
  <si>
    <t>Timor-Leste</t>
  </si>
  <si>
    <t>TLS</t>
  </si>
  <si>
    <t>United States of America</t>
  </si>
  <si>
    <t>USA</t>
  </si>
  <si>
    <t>Viet Nam</t>
  </si>
  <si>
    <t>VNM</t>
  </si>
  <si>
    <t>Southeast Asia and Northern Americas</t>
  </si>
  <si>
    <t>Central Americas and Caribbean</t>
  </si>
  <si>
    <t>Southern Americas and Caribbean</t>
  </si>
  <si>
    <t>Z9_WORLD</t>
  </si>
  <si>
    <t>WLD</t>
  </si>
  <si>
    <t>A1_WORLD</t>
  </si>
  <si>
    <t>Data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</si>
</sst>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/>
    <xf numFmtId="16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left" vertical="top"/>
    </xf>
    <xf numFmtId="0" fontId="0" fillId="0" borderId="0" xfId="0" applyFill="1"/>
    <xf numFmtId="164" fontId="0" fillId="0" borderId="0" xfId="0" applyNumberFormat="1" applyFill="1"/>
    <xf numFmtId="0" fontId="4" fillId="0" borderId="0" xfId="0" applyFont="1" applyFill="1"/>
    <xf numFmtId="166" fontId="0" fillId="0" borderId="0" xfId="1" applyNumberFormat="1" applyFont="1" applyFill="1"/>
    <xf numFmtId="0" fontId="1" fillId="0" borderId="0" xfId="0" applyFont="1" applyFill="1" applyAlignment="1">
      <alignment horizontal="left" vertical="top"/>
    </xf>
    <xf numFmtId="0" fontId="2" fillId="0" borderId="0" xfId="0" applyFont="1" applyFill="1"/>
    <xf numFmtId="164" fontId="2" fillId="0" borderId="0" xfId="0" applyNumberFormat="1" applyFont="1" applyFill="1"/>
    <xf numFmtId="166" fontId="2" fillId="0" borderId="0" xfId="1" applyNumberFormat="1" applyFont="1" applyFill="1"/>
    <xf numFmtId="2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8125-B481-3E42-ACA6-6697357367EB}">
  <dimension ref="A1:Z222"/>
  <sheetViews>
    <sheetView tabSelected="1" topLeftCell="B1" zoomScale="170" zoomScaleNormal="170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1" sqref="B1"/>
    </sheetView>
  </sheetViews>
  <sheetFormatPr baseColWidth="10" defaultRowHeight="15" x14ac:dyDescent="0.2"/>
  <cols>
    <col min="1" max="1" width="9" hidden="1" customWidth="1"/>
    <col min="2" max="2" width="26.33203125" bestFit="1" customWidth="1"/>
    <col min="3" max="3" width="10.1640625" bestFit="1" customWidth="1"/>
    <col min="4" max="4" width="30.1640625" bestFit="1" customWidth="1"/>
    <col min="5" max="5" width="25.6640625" bestFit="1" customWidth="1"/>
    <col min="6" max="6" width="21.5" bestFit="1" customWidth="1"/>
    <col min="7" max="7" width="25.83203125" bestFit="1" customWidth="1"/>
    <col min="8" max="8" width="21.1640625" bestFit="1" customWidth="1"/>
    <col min="9" max="9" width="16.33203125" bestFit="1" customWidth="1"/>
    <col min="10" max="10" width="16.83203125" bestFit="1" customWidth="1"/>
    <col min="11" max="11" width="17.1640625" bestFit="1" customWidth="1"/>
    <col min="12" max="12" width="21.83203125" bestFit="1" customWidth="1"/>
    <col min="13" max="13" width="23.1640625" bestFit="1" customWidth="1"/>
    <col min="14" max="14" width="13" bestFit="1" customWidth="1"/>
    <col min="15" max="15" width="31" bestFit="1" customWidth="1"/>
    <col min="16" max="16" width="18.1640625" bestFit="1" customWidth="1"/>
    <col min="17" max="17" width="25.33203125" bestFit="1" customWidth="1"/>
    <col min="18" max="18" width="22.6640625" bestFit="1" customWidth="1"/>
    <col min="19" max="19" width="20.33203125" bestFit="1" customWidth="1"/>
    <col min="20" max="20" width="18.83203125" bestFit="1" customWidth="1"/>
    <col min="21" max="21" width="9.6640625" bestFit="1" customWidth="1"/>
    <col min="22" max="22" width="22.1640625" bestFit="1" customWidth="1"/>
    <col min="23" max="23" width="17.1640625" bestFit="1" customWidth="1"/>
    <col min="24" max="24" width="22" bestFit="1" customWidth="1"/>
    <col min="25" max="25" width="40.33203125" bestFit="1" customWidth="1"/>
  </cols>
  <sheetData>
    <row r="1" spans="1:26" x14ac:dyDescent="0.2">
      <c r="A1" s="4" t="s">
        <v>439</v>
      </c>
      <c r="B1" s="4" t="s">
        <v>441</v>
      </c>
      <c r="C1" s="1" t="s">
        <v>404</v>
      </c>
      <c r="D1" s="1" t="s">
        <v>490</v>
      </c>
      <c r="E1" s="1" t="s">
        <v>208</v>
      </c>
      <c r="F1" s="1" t="s">
        <v>207</v>
      </c>
      <c r="G1" s="1" t="s">
        <v>223</v>
      </c>
      <c r="H1" s="1" t="s">
        <v>209</v>
      </c>
      <c r="I1" s="1" t="s">
        <v>210</v>
      </c>
      <c r="J1" s="1" t="s">
        <v>211</v>
      </c>
      <c r="K1" s="4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225</v>
      </c>
      <c r="R1" s="1" t="s">
        <v>219</v>
      </c>
      <c r="S1" s="1" t="s">
        <v>218</v>
      </c>
      <c r="T1" s="1" t="s">
        <v>0</v>
      </c>
      <c r="U1" s="1" t="s">
        <v>224</v>
      </c>
      <c r="V1" s="4" t="s">
        <v>221</v>
      </c>
      <c r="W1" s="1" t="s">
        <v>220</v>
      </c>
      <c r="X1" s="1" t="s">
        <v>222</v>
      </c>
      <c r="Y1" s="1" t="s">
        <v>1</v>
      </c>
      <c r="Z1" s="9" t="s">
        <v>523</v>
      </c>
    </row>
    <row r="2" spans="1:26" x14ac:dyDescent="0.2">
      <c r="A2" s="2">
        <v>1</v>
      </c>
      <c r="B2" s="2" t="s">
        <v>227</v>
      </c>
      <c r="C2" t="s">
        <v>3</v>
      </c>
      <c r="D2" t="s">
        <v>440</v>
      </c>
      <c r="E2" s="8">
        <v>64.067999999999998</v>
      </c>
      <c r="F2" s="8">
        <v>55.929400000000001</v>
      </c>
      <c r="G2" s="8"/>
      <c r="H2" s="8">
        <v>0</v>
      </c>
      <c r="I2" s="8">
        <v>4.84</v>
      </c>
      <c r="J2" s="8">
        <v>42647500</v>
      </c>
      <c r="K2" s="8">
        <v>0.22347900000000001</v>
      </c>
      <c r="L2" s="8">
        <v>23333100</v>
      </c>
      <c r="M2" s="8">
        <v>0.70171899999999998</v>
      </c>
      <c r="N2" s="8"/>
      <c r="O2" s="8">
        <v>26.765999999999998</v>
      </c>
      <c r="P2" s="8"/>
      <c r="Q2" s="8">
        <v>12.116400000000001</v>
      </c>
      <c r="R2" s="8">
        <v>27.265000000000001</v>
      </c>
      <c r="S2" s="8"/>
      <c r="T2" s="8">
        <v>67.584699999999998</v>
      </c>
      <c r="U2" s="8"/>
      <c r="V2" s="8"/>
      <c r="W2" s="8"/>
      <c r="X2" s="8">
        <v>72.734999999999999</v>
      </c>
      <c r="Y2" s="8">
        <v>42.887500000000003</v>
      </c>
      <c r="Z2">
        <f t="shared" ref="Z2:Z65" si="0">COUNT(E2:Y2)</f>
        <v>14</v>
      </c>
    </row>
    <row r="3" spans="1:26" x14ac:dyDescent="0.2">
      <c r="A3" s="2">
        <v>2</v>
      </c>
      <c r="B3" s="2" t="s">
        <v>229</v>
      </c>
      <c r="C3" t="s">
        <v>5</v>
      </c>
      <c r="D3" s="3" t="s">
        <v>435</v>
      </c>
      <c r="E3" s="8">
        <v>12.789</v>
      </c>
      <c r="F3" s="8">
        <v>99.5</v>
      </c>
      <c r="G3" s="8">
        <v>14.3012</v>
      </c>
      <c r="H3" s="8">
        <v>16899700</v>
      </c>
      <c r="I3" s="8">
        <v>1.3480000000000001</v>
      </c>
      <c r="J3" s="8">
        <v>2714620</v>
      </c>
      <c r="K3" s="8">
        <v>1.5445500000000001</v>
      </c>
      <c r="L3" s="8">
        <v>1798070</v>
      </c>
      <c r="M3" s="8">
        <v>14.1943</v>
      </c>
      <c r="N3" s="8">
        <v>34.090000000000003</v>
      </c>
      <c r="O3" s="8">
        <v>97.4422</v>
      </c>
      <c r="P3" s="8">
        <v>78.010000000000005</v>
      </c>
      <c r="Q3" s="8">
        <v>51.010599999999997</v>
      </c>
      <c r="R3" s="8">
        <v>65.38</v>
      </c>
      <c r="S3" s="8">
        <v>82.613699999999994</v>
      </c>
      <c r="T3" s="8">
        <v>79.070800000000006</v>
      </c>
      <c r="U3" s="8">
        <v>4.18</v>
      </c>
      <c r="V3" s="8"/>
      <c r="W3" s="8"/>
      <c r="X3" s="8">
        <v>34.619999999999997</v>
      </c>
      <c r="Y3" s="8">
        <v>16.840800000000002</v>
      </c>
      <c r="Z3">
        <f t="shared" si="0"/>
        <v>19</v>
      </c>
    </row>
    <row r="4" spans="1:26" x14ac:dyDescent="0.2">
      <c r="A4" s="2">
        <v>3</v>
      </c>
      <c r="B4" s="2" t="s">
        <v>270</v>
      </c>
      <c r="C4" t="s">
        <v>56</v>
      </c>
      <c r="D4" s="3" t="s">
        <v>435</v>
      </c>
      <c r="E4" s="8">
        <v>8.6980000000000004</v>
      </c>
      <c r="F4" s="8">
        <v>74.03</v>
      </c>
      <c r="G4" s="8">
        <v>2.59409</v>
      </c>
      <c r="H4" s="8">
        <v>9028310</v>
      </c>
      <c r="I4" s="8">
        <v>2.766</v>
      </c>
      <c r="J4" s="8">
        <v>46814300</v>
      </c>
      <c r="K4" s="8">
        <v>3.7182200000000001</v>
      </c>
      <c r="L4" s="8">
        <v>29534600</v>
      </c>
      <c r="M4" s="8">
        <v>0.64231199999999999</v>
      </c>
      <c r="N4" s="8">
        <v>584.41999999999996</v>
      </c>
      <c r="O4" s="8">
        <v>99.647499999999994</v>
      </c>
      <c r="P4" s="8">
        <v>75.040000000000006</v>
      </c>
      <c r="Q4" s="8">
        <v>19.3386</v>
      </c>
      <c r="R4" s="8">
        <v>75.748000000000005</v>
      </c>
      <c r="S4" s="8">
        <v>70.77</v>
      </c>
      <c r="T4" s="8">
        <v>43.682899999999997</v>
      </c>
      <c r="U4" s="8">
        <v>4.07</v>
      </c>
      <c r="V4" s="8"/>
      <c r="W4" s="8"/>
      <c r="X4" s="8">
        <v>24.251999999999999</v>
      </c>
      <c r="Y4" s="8">
        <v>30.329000000000001</v>
      </c>
      <c r="Z4">
        <f t="shared" si="0"/>
        <v>19</v>
      </c>
    </row>
    <row r="5" spans="1:26" x14ac:dyDescent="0.2">
      <c r="A5" s="2">
        <v>4</v>
      </c>
      <c r="B5" s="10" t="s">
        <v>233</v>
      </c>
      <c r="C5" s="11" t="s">
        <v>10</v>
      </c>
      <c r="D5" s="11" t="s">
        <v>438</v>
      </c>
      <c r="E5" s="12">
        <v>34.180999999999997</v>
      </c>
      <c r="F5" s="12">
        <v>97.654200000000003</v>
      </c>
      <c r="G5" s="12"/>
      <c r="H5" s="12"/>
      <c r="I5" s="12">
        <v>2.286</v>
      </c>
      <c r="J5" s="12">
        <v>46765</v>
      </c>
      <c r="K5" s="12"/>
      <c r="L5" s="12">
        <v>30373</v>
      </c>
      <c r="M5" s="12"/>
      <c r="N5" s="12"/>
      <c r="O5" s="12"/>
      <c r="P5" s="12"/>
      <c r="Q5" s="12">
        <v>0</v>
      </c>
      <c r="R5" s="12">
        <v>87.284000000000006</v>
      </c>
      <c r="S5" s="12"/>
      <c r="T5" s="12">
        <v>124.684</v>
      </c>
      <c r="U5" s="12"/>
      <c r="V5" s="12"/>
      <c r="W5" s="12"/>
      <c r="X5" s="12">
        <v>12.715999999999999</v>
      </c>
      <c r="Y5" s="12">
        <v>27.008400000000002</v>
      </c>
      <c r="Z5" s="11">
        <f t="shared" si="0"/>
        <v>10</v>
      </c>
    </row>
    <row r="6" spans="1:26" x14ac:dyDescent="0.2">
      <c r="A6" s="2">
        <v>5</v>
      </c>
      <c r="B6" s="10" t="s">
        <v>230</v>
      </c>
      <c r="C6" s="11" t="s">
        <v>6</v>
      </c>
      <c r="D6" s="13" t="s">
        <v>435</v>
      </c>
      <c r="E6" s="12">
        <v>3.48</v>
      </c>
      <c r="F6" s="12"/>
      <c r="G6" s="12"/>
      <c r="H6" s="12">
        <v>51383700</v>
      </c>
      <c r="I6" s="12">
        <v>1.0820000000000001</v>
      </c>
      <c r="J6" s="12">
        <v>81938</v>
      </c>
      <c r="K6" s="12">
        <v>5.7771499999999998</v>
      </c>
      <c r="L6" s="12">
        <v>59134</v>
      </c>
      <c r="M6" s="12">
        <v>9.2022999999999993</v>
      </c>
      <c r="N6" s="12"/>
      <c r="O6" s="12"/>
      <c r="P6" s="12"/>
      <c r="Q6" s="12">
        <v>0</v>
      </c>
      <c r="R6" s="12">
        <v>87.747</v>
      </c>
      <c r="S6" s="12"/>
      <c r="T6" s="12"/>
      <c r="U6" s="12"/>
      <c r="V6" s="12">
        <v>2.4024000000000001</v>
      </c>
      <c r="W6" s="12">
        <v>2.6946099999999999</v>
      </c>
      <c r="X6" s="12">
        <v>12.253</v>
      </c>
      <c r="Y6" s="12">
        <v>11.885300000000001</v>
      </c>
      <c r="Z6" s="11">
        <f t="shared" si="0"/>
        <v>13</v>
      </c>
    </row>
    <row r="7" spans="1:26" x14ac:dyDescent="0.2">
      <c r="A7" s="2">
        <v>6</v>
      </c>
      <c r="B7" s="10" t="s">
        <v>228</v>
      </c>
      <c r="C7" s="11" t="s">
        <v>4</v>
      </c>
      <c r="D7" s="13" t="s">
        <v>432</v>
      </c>
      <c r="E7" s="12">
        <v>140.84</v>
      </c>
      <c r="F7" s="12">
        <v>83.3</v>
      </c>
      <c r="G7" s="12">
        <v>1.2280500000000001</v>
      </c>
      <c r="H7" s="12">
        <v>89918200</v>
      </c>
      <c r="I7" s="12">
        <v>5.1239999999999997</v>
      </c>
      <c r="J7" s="12">
        <v>37885800</v>
      </c>
      <c r="K7" s="12">
        <v>0.59274300000000002</v>
      </c>
      <c r="L7" s="12">
        <v>20002400</v>
      </c>
      <c r="M7" s="12">
        <v>4.5623500000000003</v>
      </c>
      <c r="N7" s="12">
        <v>177.17</v>
      </c>
      <c r="O7" s="12">
        <v>81.599299999999999</v>
      </c>
      <c r="P7" s="12">
        <v>51.46</v>
      </c>
      <c r="Q7" s="12">
        <v>28.2593</v>
      </c>
      <c r="R7" s="12">
        <v>69.281000000000006</v>
      </c>
      <c r="S7" s="12">
        <v>32.6023</v>
      </c>
      <c r="T7" s="12">
        <v>62.295900000000003</v>
      </c>
      <c r="U7" s="12">
        <v>3.04</v>
      </c>
      <c r="V7" s="12">
        <v>47.576900000000002</v>
      </c>
      <c r="W7" s="12"/>
      <c r="X7" s="12">
        <v>30.719000000000001</v>
      </c>
      <c r="Y7" s="12">
        <v>44.350999999999999</v>
      </c>
      <c r="Z7" s="11">
        <f>COUNT(E7:Y7)</f>
        <v>20</v>
      </c>
    </row>
    <row r="8" spans="1:26" x14ac:dyDescent="0.2">
      <c r="A8" s="2">
        <v>7</v>
      </c>
      <c r="B8" s="10" t="s">
        <v>234</v>
      </c>
      <c r="C8" s="11" t="s">
        <v>11</v>
      </c>
      <c r="D8" s="11" t="s">
        <v>518</v>
      </c>
      <c r="E8" s="12">
        <v>32.932000000000002</v>
      </c>
      <c r="F8" s="12"/>
      <c r="G8" s="12"/>
      <c r="H8" s="12">
        <v>0</v>
      </c>
      <c r="I8" s="12">
        <v>1.5780000000000001</v>
      </c>
      <c r="J8" s="12">
        <v>93772</v>
      </c>
      <c r="K8" s="12">
        <v>5.1217300000000003</v>
      </c>
      <c r="L8" s="12">
        <v>66030</v>
      </c>
      <c r="M8" s="12">
        <v>4.6503300000000003</v>
      </c>
      <c r="N8" s="12"/>
      <c r="O8" s="12">
        <v>99.310100000000006</v>
      </c>
      <c r="P8" s="12"/>
      <c r="Q8" s="12">
        <v>0</v>
      </c>
      <c r="R8" s="12">
        <v>24.338000000000001</v>
      </c>
      <c r="S8" s="12"/>
      <c r="T8" s="12">
        <v>117.70399999999999</v>
      </c>
      <c r="U8" s="12"/>
      <c r="V8" s="12"/>
      <c r="W8" s="12"/>
      <c r="X8" s="12">
        <v>75.662000000000006</v>
      </c>
      <c r="Y8" s="12">
        <v>17.799700000000001</v>
      </c>
      <c r="Z8" s="11">
        <f t="shared" si="0"/>
        <v>13</v>
      </c>
    </row>
    <row r="9" spans="1:26" x14ac:dyDescent="0.2">
      <c r="A9" s="2">
        <v>8</v>
      </c>
      <c r="B9" s="10" t="s">
        <v>231</v>
      </c>
      <c r="C9" s="11" t="s">
        <v>8</v>
      </c>
      <c r="D9" s="11" t="s">
        <v>519</v>
      </c>
      <c r="E9" s="12">
        <v>26.414000000000001</v>
      </c>
      <c r="F9" s="12">
        <v>98.916700000000006</v>
      </c>
      <c r="G9" s="12">
        <v>11.465</v>
      </c>
      <c r="H9" s="12">
        <v>689722000</v>
      </c>
      <c r="I9" s="12">
        <v>1.5</v>
      </c>
      <c r="J9" s="12">
        <v>45696200</v>
      </c>
      <c r="K9" s="12">
        <v>3.4056199999999999</v>
      </c>
      <c r="L9" s="12">
        <v>30150400</v>
      </c>
      <c r="M9" s="12">
        <v>5.2461799999999998</v>
      </c>
      <c r="N9" s="12">
        <v>813.46</v>
      </c>
      <c r="O9" s="12">
        <v>99.480500000000006</v>
      </c>
      <c r="P9" s="12">
        <v>76.33</v>
      </c>
      <c r="Q9" s="12">
        <v>49.621699999999997</v>
      </c>
      <c r="R9" s="12">
        <v>92.578999999999994</v>
      </c>
      <c r="S9" s="12">
        <v>88.375399999999999</v>
      </c>
      <c r="T9" s="12">
        <v>28.159400000000002</v>
      </c>
      <c r="U9" s="12">
        <v>3.95</v>
      </c>
      <c r="V9" s="12"/>
      <c r="W9" s="12">
        <v>23.586200000000002</v>
      </c>
      <c r="X9" s="12">
        <v>7.4210000000000003</v>
      </c>
      <c r="Y9" s="12">
        <v>21.603899999999999</v>
      </c>
      <c r="Z9" s="11">
        <f t="shared" si="0"/>
        <v>20</v>
      </c>
    </row>
    <row r="10" spans="1:26" x14ac:dyDescent="0.2">
      <c r="A10" s="2">
        <v>9</v>
      </c>
      <c r="B10" s="10" t="s">
        <v>232</v>
      </c>
      <c r="C10" s="11" t="s">
        <v>9</v>
      </c>
      <c r="D10" s="11" t="s">
        <v>436</v>
      </c>
      <c r="E10" s="12">
        <v>13.445</v>
      </c>
      <c r="F10" s="12">
        <v>99.873800000000003</v>
      </c>
      <c r="G10" s="12">
        <v>2.1802600000000001</v>
      </c>
      <c r="H10" s="14">
        <v>877133000</v>
      </c>
      <c r="I10" s="12">
        <v>1.9</v>
      </c>
      <c r="J10" s="12">
        <v>3033500</v>
      </c>
      <c r="K10" s="12">
        <v>2.4046799999999999</v>
      </c>
      <c r="L10" s="12">
        <v>2034270</v>
      </c>
      <c r="M10" s="12">
        <v>6.5221499999999999</v>
      </c>
      <c r="N10" s="12">
        <v>27.06</v>
      </c>
      <c r="O10" s="12">
        <v>90.843000000000004</v>
      </c>
      <c r="P10" s="12">
        <v>74.8</v>
      </c>
      <c r="Q10" s="12">
        <v>36.267200000000003</v>
      </c>
      <c r="R10" s="12">
        <v>63.929000000000002</v>
      </c>
      <c r="S10" s="12">
        <v>78.612300000000005</v>
      </c>
      <c r="T10" s="12">
        <v>152.13999999999999</v>
      </c>
      <c r="U10" s="12">
        <v>4.1900000000000004</v>
      </c>
      <c r="V10" s="12">
        <v>4.0594999999999999</v>
      </c>
      <c r="W10" s="12">
        <v>3.6065299999999998</v>
      </c>
      <c r="X10" s="12">
        <v>36.070999999999998</v>
      </c>
      <c r="Y10" s="12">
        <v>19.237100000000002</v>
      </c>
      <c r="Z10" s="11">
        <f t="shared" si="0"/>
        <v>21</v>
      </c>
    </row>
    <row r="11" spans="1:26" x14ac:dyDescent="0.2">
      <c r="A11" s="2">
        <v>10</v>
      </c>
      <c r="B11" s="10" t="s">
        <v>226</v>
      </c>
      <c r="C11" s="11" t="s">
        <v>2</v>
      </c>
      <c r="D11" s="11" t="s">
        <v>519</v>
      </c>
      <c r="E11" s="12">
        <v>18.788</v>
      </c>
      <c r="F11" s="12">
        <v>99.52</v>
      </c>
      <c r="G11" s="12"/>
      <c r="H11" s="12">
        <v>1665840</v>
      </c>
      <c r="I11" s="12">
        <v>1.6020000000000001</v>
      </c>
      <c r="J11" s="12">
        <v>107624</v>
      </c>
      <c r="K11" s="12"/>
      <c r="L11" s="12">
        <v>71138</v>
      </c>
      <c r="M11" s="12">
        <v>18.851400000000002</v>
      </c>
      <c r="N11" s="12"/>
      <c r="O11" s="12">
        <v>99.292000000000002</v>
      </c>
      <c r="P11" s="12"/>
      <c r="Q11" s="12">
        <v>0</v>
      </c>
      <c r="R11" s="12">
        <v>44.473999999999997</v>
      </c>
      <c r="S11" s="12"/>
      <c r="T11" s="12">
        <v>169.798</v>
      </c>
      <c r="U11" s="12"/>
      <c r="V11" s="12"/>
      <c r="W11" s="12"/>
      <c r="X11" s="12">
        <v>55.526000000000003</v>
      </c>
      <c r="Y11" s="12">
        <v>16.844899999999999</v>
      </c>
      <c r="Z11" s="11">
        <f t="shared" si="0"/>
        <v>13</v>
      </c>
    </row>
    <row r="12" spans="1:26" x14ac:dyDescent="0.2">
      <c r="A12" s="2">
        <v>11</v>
      </c>
      <c r="B12" s="10" t="s">
        <v>235</v>
      </c>
      <c r="C12" s="11" t="s">
        <v>12</v>
      </c>
      <c r="D12" s="11" t="s">
        <v>438</v>
      </c>
      <c r="E12" s="12">
        <v>6.7149999999999999</v>
      </c>
      <c r="F12" s="12"/>
      <c r="G12" s="12">
        <v>35.269799999999996</v>
      </c>
      <c r="H12" s="12">
        <v>8190030000</v>
      </c>
      <c r="I12" s="12">
        <v>1.5</v>
      </c>
      <c r="J12" s="12">
        <v>27204800</v>
      </c>
      <c r="K12" s="12">
        <v>14.7727</v>
      </c>
      <c r="L12" s="12">
        <v>17527600</v>
      </c>
      <c r="M12" s="12">
        <v>2.96305</v>
      </c>
      <c r="N12" s="12">
        <v>1171.69</v>
      </c>
      <c r="O12" s="12">
        <v>96.499099999999999</v>
      </c>
      <c r="P12" s="12">
        <v>82.45</v>
      </c>
      <c r="Q12" s="12">
        <v>67.981499999999997</v>
      </c>
      <c r="R12" s="12">
        <v>86.75</v>
      </c>
      <c r="S12" s="12">
        <v>96.24</v>
      </c>
      <c r="T12" s="12">
        <v>47.3142</v>
      </c>
      <c r="U12" s="12">
        <v>5.19</v>
      </c>
      <c r="V12" s="12"/>
      <c r="W12" s="12">
        <v>12.7872</v>
      </c>
      <c r="X12" s="12">
        <v>13.25</v>
      </c>
      <c r="Y12" s="12">
        <v>17.841799999999999</v>
      </c>
      <c r="Z12" s="11">
        <f t="shared" si="0"/>
        <v>19</v>
      </c>
    </row>
    <row r="13" spans="1:26" x14ac:dyDescent="0.2">
      <c r="A13" s="2">
        <v>12</v>
      </c>
      <c r="B13" s="10" t="s">
        <v>236</v>
      </c>
      <c r="C13" s="11" t="s">
        <v>13</v>
      </c>
      <c r="D13" s="11" t="s">
        <v>431</v>
      </c>
      <c r="E13" s="12">
        <v>3.8359999999999999</v>
      </c>
      <c r="F13" s="12"/>
      <c r="G13" s="12">
        <v>53.5379</v>
      </c>
      <c r="H13" s="12">
        <v>27308800000</v>
      </c>
      <c r="I13" s="12">
        <v>1.32</v>
      </c>
      <c r="J13" s="12">
        <v>9178480</v>
      </c>
      <c r="K13" s="12">
        <v>6.6326499999999999</v>
      </c>
      <c r="L13" s="12">
        <v>5981210</v>
      </c>
      <c r="M13" s="12">
        <v>2.6412399999999998</v>
      </c>
      <c r="N13" s="12">
        <v>411.77</v>
      </c>
      <c r="O13" s="12">
        <v>88.6447</v>
      </c>
      <c r="P13" s="12">
        <v>81.84</v>
      </c>
      <c r="Q13" s="12">
        <v>82.425899999999999</v>
      </c>
      <c r="R13" s="12">
        <v>59.819000000000003</v>
      </c>
      <c r="S13" s="12">
        <v>93.614099999999993</v>
      </c>
      <c r="T13" s="12">
        <v>110.535</v>
      </c>
      <c r="U13" s="12">
        <v>5.25</v>
      </c>
      <c r="V13" s="12"/>
      <c r="W13" s="12"/>
      <c r="X13" s="12">
        <v>40.180999999999997</v>
      </c>
      <c r="Y13" s="12">
        <v>14.228</v>
      </c>
      <c r="Z13" s="11">
        <f t="shared" si="0"/>
        <v>18</v>
      </c>
    </row>
    <row r="14" spans="1:26" x14ac:dyDescent="0.2">
      <c r="A14" s="2">
        <v>13</v>
      </c>
      <c r="B14" s="10" t="s">
        <v>237</v>
      </c>
      <c r="C14" s="11" t="s">
        <v>14</v>
      </c>
      <c r="D14" s="11" t="s">
        <v>436</v>
      </c>
      <c r="E14" s="12">
        <v>34.767000000000003</v>
      </c>
      <c r="F14" s="12">
        <v>99.933899999999994</v>
      </c>
      <c r="G14" s="12">
        <v>1.08663</v>
      </c>
      <c r="H14" s="14">
        <v>37073100</v>
      </c>
      <c r="I14" s="12">
        <v>1.55</v>
      </c>
      <c r="J14" s="12">
        <v>10202900</v>
      </c>
      <c r="K14" s="12">
        <v>3.3988499999999999</v>
      </c>
      <c r="L14" s="12">
        <v>7104510</v>
      </c>
      <c r="M14" s="12">
        <v>2.8083499999999999</v>
      </c>
      <c r="N14" s="12">
        <v>159.71</v>
      </c>
      <c r="O14" s="12">
        <v>92.615799999999993</v>
      </c>
      <c r="P14" s="12">
        <v>70.849999999999994</v>
      </c>
      <c r="Q14" s="12">
        <v>11.283099999999999</v>
      </c>
      <c r="R14" s="12">
        <v>57.997</v>
      </c>
      <c r="S14" s="12">
        <v>86</v>
      </c>
      <c r="T14" s="12">
        <v>82.689899999999994</v>
      </c>
      <c r="U14" s="12">
        <v>4.6900000000000004</v>
      </c>
      <c r="V14" s="12"/>
      <c r="W14" s="12"/>
      <c r="X14" s="12">
        <v>42.003</v>
      </c>
      <c r="Y14" s="12">
        <v>21.811599999999999</v>
      </c>
      <c r="Z14" s="11">
        <f t="shared" si="0"/>
        <v>19</v>
      </c>
    </row>
    <row r="15" spans="1:26" x14ac:dyDescent="0.2">
      <c r="A15" s="2">
        <v>14</v>
      </c>
      <c r="B15" s="10" t="s">
        <v>422</v>
      </c>
      <c r="C15" s="11" t="s">
        <v>22</v>
      </c>
      <c r="D15" s="11" t="s">
        <v>518</v>
      </c>
      <c r="E15" s="12">
        <v>24.564</v>
      </c>
      <c r="F15" s="12"/>
      <c r="G15" s="12"/>
      <c r="H15" s="12">
        <v>7099</v>
      </c>
      <c r="I15" s="12">
        <v>1.373</v>
      </c>
      <c r="J15" s="12">
        <v>401283</v>
      </c>
      <c r="K15" s="12">
        <v>6.0422500000000001</v>
      </c>
      <c r="L15" s="12">
        <v>282148</v>
      </c>
      <c r="M15" s="12">
        <v>4.8668899999999997</v>
      </c>
      <c r="N15" s="12"/>
      <c r="O15" s="12">
        <v>74.389899999999997</v>
      </c>
      <c r="P15" s="12"/>
      <c r="Q15" s="12">
        <v>0</v>
      </c>
      <c r="R15" s="12">
        <v>83.763999999999996</v>
      </c>
      <c r="S15" s="12"/>
      <c r="T15" s="12">
        <v>79.242500000000007</v>
      </c>
      <c r="U15" s="12"/>
      <c r="V15" s="12"/>
      <c r="W15" s="12"/>
      <c r="X15" s="12">
        <v>16.236000000000001</v>
      </c>
      <c r="Y15" s="12">
        <v>17.912800000000001</v>
      </c>
      <c r="Z15" s="11">
        <f t="shared" si="0"/>
        <v>13</v>
      </c>
    </row>
    <row r="16" spans="1:26" x14ac:dyDescent="0.2">
      <c r="A16" s="2">
        <v>15</v>
      </c>
      <c r="B16" s="10" t="s">
        <v>244</v>
      </c>
      <c r="C16" s="11" t="s">
        <v>21</v>
      </c>
      <c r="D16" s="11" t="s">
        <v>440</v>
      </c>
      <c r="E16" s="12">
        <v>7.5350000000000001</v>
      </c>
      <c r="F16" s="12">
        <v>100</v>
      </c>
      <c r="G16" s="12">
        <v>2.2111800000000001</v>
      </c>
      <c r="H16" s="12">
        <v>11523300</v>
      </c>
      <c r="I16" s="12">
        <v>1.8240000000000001</v>
      </c>
      <c r="J16" s="12">
        <v>1588670</v>
      </c>
      <c r="K16" s="12">
        <v>21.976900000000001</v>
      </c>
      <c r="L16" s="12">
        <v>1230110</v>
      </c>
      <c r="M16" s="12">
        <v>10.2593</v>
      </c>
      <c r="N16" s="12">
        <v>65.900000000000006</v>
      </c>
      <c r="O16" s="12">
        <v>98.104799999999997</v>
      </c>
      <c r="P16" s="12">
        <v>76.819999999999993</v>
      </c>
      <c r="Q16" s="12">
        <v>16.0185</v>
      </c>
      <c r="R16" s="12">
        <v>89.998999999999995</v>
      </c>
      <c r="S16" s="12">
        <v>100</v>
      </c>
      <c r="T16" s="12">
        <v>157.44800000000001</v>
      </c>
      <c r="U16" s="12">
        <v>4.54</v>
      </c>
      <c r="V16" s="12"/>
      <c r="W16" s="12"/>
      <c r="X16" s="12">
        <v>10.000999999999999</v>
      </c>
      <c r="Y16" s="12">
        <v>18.716799999999999</v>
      </c>
      <c r="Z16" s="11">
        <f t="shared" si="0"/>
        <v>19</v>
      </c>
    </row>
    <row r="17" spans="1:26" x14ac:dyDescent="0.2">
      <c r="A17" s="2">
        <v>16</v>
      </c>
      <c r="B17" s="10" t="s">
        <v>242</v>
      </c>
      <c r="C17" s="11" t="s">
        <v>19</v>
      </c>
      <c r="D17" s="11" t="s">
        <v>437</v>
      </c>
      <c r="E17" s="12">
        <v>73.179000000000002</v>
      </c>
      <c r="F17" s="12">
        <v>94.461799999999997</v>
      </c>
      <c r="G17" s="12">
        <v>1.4481299999999999</v>
      </c>
      <c r="H17" s="12">
        <v>93607700</v>
      </c>
      <c r="I17" s="12">
        <v>2.1629999999999998</v>
      </c>
      <c r="J17" s="12">
        <v>173562000</v>
      </c>
      <c r="K17" s="12">
        <v>0.51064799999999999</v>
      </c>
      <c r="L17" s="12">
        <v>113705000</v>
      </c>
      <c r="M17" s="12">
        <v>1.16069</v>
      </c>
      <c r="N17" s="12">
        <v>677.07</v>
      </c>
      <c r="O17" s="12">
        <v>94.956599999999995</v>
      </c>
      <c r="P17" s="12">
        <v>72</v>
      </c>
      <c r="Q17" s="12">
        <v>26.785699999999999</v>
      </c>
      <c r="R17" s="12">
        <v>41.23</v>
      </c>
      <c r="S17" s="12">
        <v>38.917400000000001</v>
      </c>
      <c r="T17" s="12">
        <v>26.778099999999998</v>
      </c>
      <c r="U17" s="12">
        <v>3.91</v>
      </c>
      <c r="V17" s="12">
        <v>12.635999999999999</v>
      </c>
      <c r="W17" s="12">
        <v>4.2372899999999998</v>
      </c>
      <c r="X17" s="12">
        <v>58.77</v>
      </c>
      <c r="Y17" s="12">
        <v>27.988900000000001</v>
      </c>
      <c r="Z17" s="11">
        <f t="shared" si="0"/>
        <v>21</v>
      </c>
    </row>
    <row r="18" spans="1:26" x14ac:dyDescent="0.2">
      <c r="A18" s="2">
        <v>17</v>
      </c>
      <c r="B18" s="10" t="s">
        <v>250</v>
      </c>
      <c r="C18" s="11" t="s">
        <v>29</v>
      </c>
      <c r="D18" s="11" t="s">
        <v>518</v>
      </c>
      <c r="E18" s="12">
        <v>45.332000000000001</v>
      </c>
      <c r="F18" s="12">
        <v>100</v>
      </c>
      <c r="G18" s="12">
        <v>5.4729000000000001</v>
      </c>
      <c r="H18" s="12">
        <v>16529200</v>
      </c>
      <c r="I18" s="12">
        <v>1.708</v>
      </c>
      <c r="J18" s="12">
        <v>282467</v>
      </c>
      <c r="K18" s="12">
        <v>3.9048699999999998</v>
      </c>
      <c r="L18" s="12">
        <v>187017</v>
      </c>
      <c r="M18" s="12">
        <v>4.4231499999999997</v>
      </c>
      <c r="N18" s="12">
        <v>4.71</v>
      </c>
      <c r="O18" s="12">
        <v>98.388199999999998</v>
      </c>
      <c r="P18" s="12">
        <v>75.5</v>
      </c>
      <c r="Q18" s="12">
        <v>0</v>
      </c>
      <c r="R18" s="12">
        <v>31.547999999999998</v>
      </c>
      <c r="S18" s="12">
        <v>85.82</v>
      </c>
      <c r="T18" s="12"/>
      <c r="U18" s="12">
        <v>4.1900000000000004</v>
      </c>
      <c r="V18" s="12"/>
      <c r="W18" s="12"/>
      <c r="X18" s="12">
        <v>68.451999999999998</v>
      </c>
      <c r="Y18" s="12">
        <v>17.241299999999999</v>
      </c>
      <c r="Z18" s="11">
        <f t="shared" si="0"/>
        <v>18</v>
      </c>
    </row>
    <row r="19" spans="1:26" x14ac:dyDescent="0.2">
      <c r="A19" s="2">
        <v>18</v>
      </c>
      <c r="B19" s="10" t="s">
        <v>246</v>
      </c>
      <c r="C19" s="11" t="s">
        <v>24</v>
      </c>
      <c r="D19" s="11" t="s">
        <v>436</v>
      </c>
      <c r="E19" s="12">
        <v>8.5950000000000006</v>
      </c>
      <c r="F19" s="12">
        <v>99.872799999999998</v>
      </c>
      <c r="G19" s="12"/>
      <c r="H19" s="14">
        <v>922202000</v>
      </c>
      <c r="I19" s="12">
        <v>1.208</v>
      </c>
      <c r="J19" s="12">
        <v>9133710</v>
      </c>
      <c r="K19" s="12">
        <v>5.8424100000000001</v>
      </c>
      <c r="L19" s="12">
        <v>6031560</v>
      </c>
      <c r="M19" s="12">
        <v>1.3537399999999999</v>
      </c>
      <c r="N19" s="12"/>
      <c r="O19" s="12">
        <v>95.209100000000007</v>
      </c>
      <c r="P19" s="12"/>
      <c r="Q19" s="12">
        <v>22.473500000000001</v>
      </c>
      <c r="R19" s="12">
        <v>81.125</v>
      </c>
      <c r="S19" s="12"/>
      <c r="T19" s="12">
        <v>131.91800000000001</v>
      </c>
      <c r="U19" s="12"/>
      <c r="V19" s="12"/>
      <c r="W19" s="12"/>
      <c r="X19" s="12">
        <v>18.875</v>
      </c>
      <c r="Y19" s="12">
        <v>16.2972</v>
      </c>
      <c r="Z19" s="11">
        <f t="shared" si="0"/>
        <v>14</v>
      </c>
    </row>
    <row r="20" spans="1:26" x14ac:dyDescent="0.2">
      <c r="A20" s="2">
        <v>19</v>
      </c>
      <c r="B20" s="10" t="s">
        <v>239</v>
      </c>
      <c r="C20" s="11" t="s">
        <v>16</v>
      </c>
      <c r="D20" s="11" t="s">
        <v>431</v>
      </c>
      <c r="E20" s="12">
        <v>3.67</v>
      </c>
      <c r="F20" s="12"/>
      <c r="G20" s="12">
        <v>12.400700000000001</v>
      </c>
      <c r="H20" s="12">
        <v>50647700000</v>
      </c>
      <c r="I20" s="12">
        <v>1.47</v>
      </c>
      <c r="J20" s="12">
        <v>11876800</v>
      </c>
      <c r="K20" s="12">
        <v>7.3981300000000001</v>
      </c>
      <c r="L20" s="12">
        <v>7535360</v>
      </c>
      <c r="M20" s="12">
        <v>3.3807</v>
      </c>
      <c r="N20" s="12">
        <v>489.36</v>
      </c>
      <c r="O20" s="12">
        <v>99.113500000000002</v>
      </c>
      <c r="P20" s="12">
        <v>81.290000000000006</v>
      </c>
      <c r="Q20" s="12">
        <v>80.592600000000004</v>
      </c>
      <c r="R20" s="12">
        <v>98.224000000000004</v>
      </c>
      <c r="S20" s="12">
        <v>94.007800000000003</v>
      </c>
      <c r="T20" s="12">
        <v>158.453</v>
      </c>
      <c r="U20" s="12">
        <v>5.23</v>
      </c>
      <c r="V20" s="12"/>
      <c r="W20" s="12"/>
      <c r="X20" s="12">
        <v>1.776</v>
      </c>
      <c r="Y20" s="12">
        <v>15.9961</v>
      </c>
      <c r="Z20" s="11">
        <f t="shared" si="0"/>
        <v>18</v>
      </c>
    </row>
    <row r="21" spans="1:26" x14ac:dyDescent="0.2">
      <c r="A21" s="2">
        <v>20</v>
      </c>
      <c r="B21" s="10" t="s">
        <v>247</v>
      </c>
      <c r="C21" s="11" t="s">
        <v>25</v>
      </c>
      <c r="D21" s="11" t="s">
        <v>518</v>
      </c>
      <c r="E21" s="12">
        <v>55.231999999999999</v>
      </c>
      <c r="F21" s="12">
        <v>87.2</v>
      </c>
      <c r="G21" s="12"/>
      <c r="H21" s="12">
        <v>0</v>
      </c>
      <c r="I21" s="12">
        <v>2.0070000000000001</v>
      </c>
      <c r="J21" s="12">
        <v>417072</v>
      </c>
      <c r="K21" s="12">
        <v>1.7411099999999999</v>
      </c>
      <c r="L21" s="12">
        <v>285268</v>
      </c>
      <c r="M21" s="12">
        <v>2.4439500000000001</v>
      </c>
      <c r="N21" s="12"/>
      <c r="O21" s="12">
        <v>99.012799999999999</v>
      </c>
      <c r="P21" s="12">
        <v>76.59</v>
      </c>
      <c r="Q21" s="12">
        <v>0</v>
      </c>
      <c r="R21" s="12">
        <v>46.838000000000001</v>
      </c>
      <c r="S21" s="12"/>
      <c r="T21" s="12">
        <v>106.532</v>
      </c>
      <c r="U21" s="12">
        <v>3.52</v>
      </c>
      <c r="V21" s="12"/>
      <c r="W21" s="12"/>
      <c r="X21" s="12">
        <v>53.161999999999999</v>
      </c>
      <c r="Y21" s="12">
        <v>26.578399999999998</v>
      </c>
      <c r="Z21" s="11">
        <f t="shared" si="0"/>
        <v>16</v>
      </c>
    </row>
    <row r="22" spans="1:26" x14ac:dyDescent="0.2">
      <c r="A22" s="2">
        <v>21</v>
      </c>
      <c r="B22" s="10" t="s">
        <v>240</v>
      </c>
      <c r="C22" s="11" t="s">
        <v>17</v>
      </c>
      <c r="D22" s="11" t="s">
        <v>434</v>
      </c>
      <c r="E22" s="12">
        <v>77.843999999999994</v>
      </c>
      <c r="F22" s="12">
        <v>66.400000000000006</v>
      </c>
      <c r="G22" s="12">
        <v>0.26854</v>
      </c>
      <c r="H22" s="12">
        <v>1700350</v>
      </c>
      <c r="I22" s="12">
        <v>4.556</v>
      </c>
      <c r="J22" s="12">
        <v>14462700</v>
      </c>
      <c r="K22" s="12">
        <v>0.63120500000000002</v>
      </c>
      <c r="L22" s="12">
        <v>8002130</v>
      </c>
      <c r="M22" s="12">
        <v>3.0186199999999999</v>
      </c>
      <c r="N22" s="12">
        <v>24.64</v>
      </c>
      <c r="O22" s="12">
        <v>97.210999999999999</v>
      </c>
      <c r="P22" s="12">
        <v>59.72</v>
      </c>
      <c r="Q22" s="12">
        <v>15.317500000000001</v>
      </c>
      <c r="R22" s="12">
        <v>50.668999999999997</v>
      </c>
      <c r="S22" s="12">
        <v>33.965299999999999</v>
      </c>
      <c r="T22" s="12">
        <v>40.639800000000001</v>
      </c>
      <c r="U22" s="12">
        <v>3.47</v>
      </c>
      <c r="V22" s="12">
        <v>39.734000000000002</v>
      </c>
      <c r="W22" s="12"/>
      <c r="X22" s="12">
        <v>49.331000000000003</v>
      </c>
      <c r="Y22" s="12">
        <v>41.552500000000002</v>
      </c>
      <c r="Z22" s="11">
        <f t="shared" si="0"/>
        <v>20</v>
      </c>
    </row>
    <row r="23" spans="1:26" x14ac:dyDescent="0.2">
      <c r="A23" s="2">
        <v>22</v>
      </c>
      <c r="B23" s="10" t="s">
        <v>248</v>
      </c>
      <c r="C23" s="11" t="s">
        <v>26</v>
      </c>
      <c r="D23" s="11" t="s">
        <v>518</v>
      </c>
      <c r="E23" s="12">
        <v>1.546</v>
      </c>
      <c r="F23" s="12"/>
      <c r="G23" s="12"/>
      <c r="H23" s="12">
        <v>1784200</v>
      </c>
      <c r="I23" s="12">
        <v>1.401</v>
      </c>
      <c r="J23" s="12">
        <v>64636</v>
      </c>
      <c r="K23" s="12"/>
      <c r="L23" s="12">
        <v>41787</v>
      </c>
      <c r="M23" s="12">
        <v>12.301500000000001</v>
      </c>
      <c r="N23" s="12"/>
      <c r="O23" s="12">
        <v>92.713899999999995</v>
      </c>
      <c r="P23" s="12"/>
      <c r="Q23" s="12">
        <v>0</v>
      </c>
      <c r="R23" s="12">
        <v>100</v>
      </c>
      <c r="S23" s="12"/>
      <c r="T23" s="12">
        <v>80.518299999999996</v>
      </c>
      <c r="U23" s="12"/>
      <c r="V23" s="12"/>
      <c r="W23" s="12"/>
      <c r="X23" s="12">
        <v>0</v>
      </c>
      <c r="Y23" s="12">
        <v>13.6069</v>
      </c>
      <c r="Z23" s="11">
        <f t="shared" si="0"/>
        <v>12</v>
      </c>
    </row>
    <row r="24" spans="1:26" x14ac:dyDescent="0.2">
      <c r="A24" s="2">
        <v>23</v>
      </c>
      <c r="B24" s="10" t="s">
        <v>252</v>
      </c>
      <c r="C24" s="11" t="s">
        <v>31</v>
      </c>
      <c r="D24" s="11" t="s">
        <v>437</v>
      </c>
      <c r="E24" s="12">
        <v>9.3640000000000008</v>
      </c>
      <c r="F24" s="12">
        <v>98</v>
      </c>
      <c r="G24" s="12"/>
      <c r="H24" s="12">
        <v>58575</v>
      </c>
      <c r="I24" s="12">
        <v>1.462</v>
      </c>
      <c r="J24" s="12">
        <v>791524</v>
      </c>
      <c r="K24" s="12">
        <v>1.34005</v>
      </c>
      <c r="L24" s="12">
        <v>574618</v>
      </c>
      <c r="M24" s="12">
        <v>4.2070699999999999</v>
      </c>
      <c r="N24" s="12"/>
      <c r="O24" s="12">
        <v>90.0655</v>
      </c>
      <c r="P24" s="12">
        <v>69.83</v>
      </c>
      <c r="Q24" s="12">
        <v>0</v>
      </c>
      <c r="R24" s="12">
        <v>45</v>
      </c>
      <c r="S24" s="12"/>
      <c r="T24" s="12">
        <v>81.564499999999995</v>
      </c>
      <c r="U24" s="12">
        <v>4.0999999999999996</v>
      </c>
      <c r="V24" s="12"/>
      <c r="W24" s="12"/>
      <c r="X24" s="12">
        <v>55</v>
      </c>
      <c r="Y24" s="12">
        <v>20.909400000000002</v>
      </c>
      <c r="Z24" s="11">
        <f t="shared" si="0"/>
        <v>16</v>
      </c>
    </row>
    <row r="25" spans="1:26" x14ac:dyDescent="0.2">
      <c r="A25" s="2">
        <v>24</v>
      </c>
      <c r="B25" s="10" t="s">
        <v>407</v>
      </c>
      <c r="C25" s="11" t="s">
        <v>27</v>
      </c>
      <c r="D25" s="11" t="s">
        <v>519</v>
      </c>
      <c r="E25" s="12">
        <v>64.847999999999999</v>
      </c>
      <c r="F25" s="12">
        <v>99.52</v>
      </c>
      <c r="G25" s="12">
        <v>5.18926</v>
      </c>
      <c r="H25" s="12">
        <v>27251900</v>
      </c>
      <c r="I25" s="12">
        <v>2.5470000000000002</v>
      </c>
      <c r="J25" s="12">
        <v>12413300</v>
      </c>
      <c r="K25" s="12">
        <v>1.5394600000000001</v>
      </c>
      <c r="L25" s="12">
        <v>8015520</v>
      </c>
      <c r="M25" s="12">
        <v>4.03104</v>
      </c>
      <c r="N25" s="12">
        <v>74.760000000000005</v>
      </c>
      <c r="O25" s="12">
        <v>93.183199999999999</v>
      </c>
      <c r="P25" s="12">
        <v>68.34</v>
      </c>
      <c r="Q25" s="12">
        <v>22.425899999999999</v>
      </c>
      <c r="R25" s="12">
        <v>71.545000000000002</v>
      </c>
      <c r="S25" s="12">
        <v>65.977400000000003</v>
      </c>
      <c r="T25" s="12">
        <v>56.458199999999998</v>
      </c>
      <c r="U25" s="12">
        <v>3.54</v>
      </c>
      <c r="V25" s="12"/>
      <c r="W25" s="12">
        <v>8.5814400000000006</v>
      </c>
      <c r="X25" s="12">
        <v>28.454999999999998</v>
      </c>
      <c r="Y25" s="12">
        <v>29.7866</v>
      </c>
      <c r="Z25" s="11">
        <f t="shared" si="0"/>
        <v>20</v>
      </c>
    </row>
    <row r="26" spans="1:26" x14ac:dyDescent="0.2">
      <c r="A26" s="2">
        <v>25</v>
      </c>
      <c r="B26" s="10" t="s">
        <v>245</v>
      </c>
      <c r="C26" s="11" t="s">
        <v>23</v>
      </c>
      <c r="D26" s="13" t="s">
        <v>435</v>
      </c>
      <c r="E26" s="12">
        <v>11.217000000000001</v>
      </c>
      <c r="F26" s="12">
        <v>99.7</v>
      </c>
      <c r="G26" s="12">
        <v>2.46299</v>
      </c>
      <c r="H26" s="12">
        <v>335044000</v>
      </c>
      <c r="I26" s="12">
        <v>1.486</v>
      </c>
      <c r="J26" s="12">
        <v>3164250</v>
      </c>
      <c r="K26" s="12">
        <v>6.3123100000000001</v>
      </c>
      <c r="L26" s="12">
        <v>2048280</v>
      </c>
      <c r="M26" s="12">
        <v>1.67594</v>
      </c>
      <c r="N26" s="12">
        <v>42.02</v>
      </c>
      <c r="O26" s="12"/>
      <c r="P26" s="12">
        <v>76.59</v>
      </c>
      <c r="Q26" s="12">
        <v>35.833300000000001</v>
      </c>
      <c r="R26" s="12">
        <v>50.707999999999998</v>
      </c>
      <c r="S26" s="12">
        <v>78.845500000000001</v>
      </c>
      <c r="T26" s="12">
        <v>99.974400000000003</v>
      </c>
      <c r="U26" s="12">
        <v>3.87</v>
      </c>
      <c r="V26" s="12"/>
      <c r="W26" s="12"/>
      <c r="X26" s="12">
        <v>49.292000000000002</v>
      </c>
      <c r="Y26" s="12">
        <v>13.037800000000001</v>
      </c>
      <c r="Z26" s="11">
        <f t="shared" si="0"/>
        <v>18</v>
      </c>
    </row>
    <row r="27" spans="1:26" x14ac:dyDescent="0.2">
      <c r="A27" s="2">
        <v>26</v>
      </c>
      <c r="B27" s="10" t="s">
        <v>253</v>
      </c>
      <c r="C27" s="11" t="s">
        <v>32</v>
      </c>
      <c r="D27" s="13" t="s">
        <v>432</v>
      </c>
      <c r="E27" s="12">
        <v>53.805</v>
      </c>
      <c r="F27" s="12">
        <v>97.456299999999999</v>
      </c>
      <c r="G27" s="12">
        <v>1.9927900000000001</v>
      </c>
      <c r="H27" s="12">
        <v>25600600</v>
      </c>
      <c r="I27" s="12">
        <v>2.7320000000000002</v>
      </c>
      <c r="J27" s="12">
        <v>2521140</v>
      </c>
      <c r="K27" s="12">
        <v>2.2634599999999998</v>
      </c>
      <c r="L27" s="12">
        <v>1609360</v>
      </c>
      <c r="M27" s="12">
        <v>1.2152499999999999</v>
      </c>
      <c r="N27" s="12">
        <v>37.29</v>
      </c>
      <c r="O27" s="12">
        <v>88.259699999999995</v>
      </c>
      <c r="P27" s="12">
        <v>64.489999999999995</v>
      </c>
      <c r="Q27" s="12">
        <v>0</v>
      </c>
      <c r="R27" s="12">
        <v>73.489999999999995</v>
      </c>
      <c r="S27" s="12">
        <v>73.5</v>
      </c>
      <c r="T27" s="12">
        <v>66.975499999999997</v>
      </c>
      <c r="U27" s="12">
        <v>4.3</v>
      </c>
      <c r="V27" s="12">
        <v>33.814999999999998</v>
      </c>
      <c r="W27" s="12"/>
      <c r="X27" s="12">
        <v>26.51</v>
      </c>
      <c r="Y27" s="12">
        <v>32.129600000000003</v>
      </c>
      <c r="Z27" s="11">
        <f t="shared" si="0"/>
        <v>20</v>
      </c>
    </row>
    <row r="28" spans="1:26" x14ac:dyDescent="0.2">
      <c r="A28" s="2">
        <v>27</v>
      </c>
      <c r="B28" s="10" t="s">
        <v>249</v>
      </c>
      <c r="C28" s="11" t="s">
        <v>28</v>
      </c>
      <c r="D28" s="11" t="s">
        <v>519</v>
      </c>
      <c r="E28" s="12">
        <v>42.686</v>
      </c>
      <c r="F28" s="12">
        <v>99.42</v>
      </c>
      <c r="G28" s="12">
        <v>22.138100000000001</v>
      </c>
      <c r="H28" s="12">
        <v>8694670000</v>
      </c>
      <c r="I28" s="12">
        <v>1.619</v>
      </c>
      <c r="J28" s="12">
        <v>211999000</v>
      </c>
      <c r="K28" s="12">
        <v>1.94252</v>
      </c>
      <c r="L28" s="12">
        <v>146885000</v>
      </c>
      <c r="M28" s="12">
        <v>2.8565399999999999</v>
      </c>
      <c r="N28" s="12">
        <v>2991.45</v>
      </c>
      <c r="O28" s="12">
        <v>97.551199999999994</v>
      </c>
      <c r="P28" s="12">
        <v>74.680000000000007</v>
      </c>
      <c r="Q28" s="12">
        <v>65.092600000000004</v>
      </c>
      <c r="R28" s="12">
        <v>88.016000000000005</v>
      </c>
      <c r="S28" s="12">
        <v>80.527799999999999</v>
      </c>
      <c r="T28" s="12">
        <v>35.531199999999998</v>
      </c>
      <c r="U28" s="12">
        <v>4.1399999999999997</v>
      </c>
      <c r="V28" s="12"/>
      <c r="W28" s="12">
        <v>9.7972999999999999</v>
      </c>
      <c r="X28" s="12">
        <v>11.984</v>
      </c>
      <c r="Y28" s="12">
        <v>19.665099999999999</v>
      </c>
      <c r="Z28" s="11">
        <f t="shared" si="0"/>
        <v>20</v>
      </c>
    </row>
    <row r="29" spans="1:26" x14ac:dyDescent="0.2">
      <c r="A29" s="2">
        <v>28</v>
      </c>
      <c r="B29" s="10" t="s">
        <v>251</v>
      </c>
      <c r="C29" s="11" t="s">
        <v>30</v>
      </c>
      <c r="D29" s="11" t="s">
        <v>438</v>
      </c>
      <c r="E29" s="12">
        <v>8.5180000000000007</v>
      </c>
      <c r="F29" s="12">
        <v>99.77</v>
      </c>
      <c r="G29" s="12"/>
      <c r="H29" s="12">
        <v>25220500</v>
      </c>
      <c r="I29" s="12">
        <v>1.7470000000000001</v>
      </c>
      <c r="J29" s="12">
        <v>462721</v>
      </c>
      <c r="K29" s="12">
        <v>21.7058</v>
      </c>
      <c r="L29" s="12">
        <v>334579</v>
      </c>
      <c r="M29" s="12">
        <v>10.296200000000001</v>
      </c>
      <c r="N29" s="12">
        <v>30.68</v>
      </c>
      <c r="O29" s="12">
        <v>96.076800000000006</v>
      </c>
      <c r="P29" s="12">
        <v>79.040000000000006</v>
      </c>
      <c r="Q29" s="12">
        <v>0</v>
      </c>
      <c r="R29" s="12">
        <v>79.438999999999993</v>
      </c>
      <c r="S29" s="12"/>
      <c r="T29" s="12">
        <v>133.22300000000001</v>
      </c>
      <c r="U29" s="12">
        <v>4.5199999999999996</v>
      </c>
      <c r="V29" s="12"/>
      <c r="W29" s="12"/>
      <c r="X29" s="12">
        <v>20.561</v>
      </c>
      <c r="Y29" s="12">
        <v>20.825299999999999</v>
      </c>
      <c r="Z29" s="11">
        <f t="shared" si="0"/>
        <v>17</v>
      </c>
    </row>
    <row r="30" spans="1:26" x14ac:dyDescent="0.2">
      <c r="A30" s="2">
        <v>29</v>
      </c>
      <c r="B30" s="10" t="s">
        <v>243</v>
      </c>
      <c r="C30" s="11" t="s">
        <v>20</v>
      </c>
      <c r="D30" s="11" t="s">
        <v>436</v>
      </c>
      <c r="E30" s="12">
        <v>39.097999999999999</v>
      </c>
      <c r="F30" s="12">
        <v>98.06</v>
      </c>
      <c r="G30" s="12">
        <v>10.089700000000001</v>
      </c>
      <c r="H30" s="14">
        <v>3178030000</v>
      </c>
      <c r="I30" s="12">
        <v>1.81</v>
      </c>
      <c r="J30" s="12">
        <v>6444370</v>
      </c>
      <c r="K30" s="12">
        <v>4.9232800000000001</v>
      </c>
      <c r="L30" s="12">
        <v>4091860</v>
      </c>
      <c r="M30" s="12">
        <v>3.3077800000000002</v>
      </c>
      <c r="N30" s="12">
        <v>144.29</v>
      </c>
      <c r="O30" s="12">
        <v>88.086200000000005</v>
      </c>
      <c r="P30" s="12">
        <v>74.47</v>
      </c>
      <c r="Q30" s="12">
        <v>65.074100000000001</v>
      </c>
      <c r="R30" s="12">
        <v>77.037000000000006</v>
      </c>
      <c r="S30" s="12">
        <v>79.126900000000006</v>
      </c>
      <c r="T30" s="12">
        <v>109.289</v>
      </c>
      <c r="U30" s="12">
        <v>4.46</v>
      </c>
      <c r="V30" s="12"/>
      <c r="W30" s="12"/>
      <c r="X30" s="12">
        <v>22.963000000000001</v>
      </c>
      <c r="Y30" s="12">
        <v>14.474500000000001</v>
      </c>
      <c r="Z30" s="11">
        <f t="shared" si="0"/>
        <v>19</v>
      </c>
    </row>
    <row r="31" spans="1:26" x14ac:dyDescent="0.2">
      <c r="A31" s="2">
        <v>30</v>
      </c>
      <c r="B31" s="10" t="s">
        <v>241</v>
      </c>
      <c r="C31" s="11" t="s">
        <v>18</v>
      </c>
      <c r="D31" s="11" t="s">
        <v>434</v>
      </c>
      <c r="E31" s="12">
        <v>87.081999999999994</v>
      </c>
      <c r="F31" s="12">
        <v>53.64</v>
      </c>
      <c r="G31" s="12"/>
      <c r="H31" s="12">
        <v>8323770</v>
      </c>
      <c r="I31" s="12">
        <v>4.1859999999999999</v>
      </c>
      <c r="J31" s="12">
        <v>23548800</v>
      </c>
      <c r="K31" s="12">
        <v>0.25353300000000001</v>
      </c>
      <c r="L31" s="12">
        <v>13080500</v>
      </c>
      <c r="M31" s="12">
        <v>3.6869299999999998</v>
      </c>
      <c r="N31" s="12">
        <v>34.53</v>
      </c>
      <c r="O31" s="12">
        <v>79.341700000000003</v>
      </c>
      <c r="P31" s="12">
        <v>55.86</v>
      </c>
      <c r="Q31" s="12">
        <v>25.7593</v>
      </c>
      <c r="R31" s="12">
        <v>33.165999999999997</v>
      </c>
      <c r="S31" s="12"/>
      <c r="T31" s="12">
        <v>63.4283</v>
      </c>
      <c r="U31" s="12">
        <v>3.21</v>
      </c>
      <c r="V31" s="12">
        <v>52.363700000000001</v>
      </c>
      <c r="W31" s="12"/>
      <c r="X31" s="12">
        <v>66.834000000000003</v>
      </c>
      <c r="Y31" s="12">
        <v>41.802</v>
      </c>
      <c r="Z31" s="11">
        <f t="shared" si="0"/>
        <v>18</v>
      </c>
    </row>
    <row r="32" spans="1:26" x14ac:dyDescent="0.2">
      <c r="A32" s="2">
        <v>31</v>
      </c>
      <c r="B32" s="10" t="s">
        <v>238</v>
      </c>
      <c r="C32" s="11" t="s">
        <v>15</v>
      </c>
      <c r="D32" s="13" t="s">
        <v>432</v>
      </c>
      <c r="E32" s="12">
        <v>53.363999999999997</v>
      </c>
      <c r="F32" s="12">
        <v>93.56</v>
      </c>
      <c r="G32" s="12"/>
      <c r="H32" s="12">
        <v>279944</v>
      </c>
      <c r="I32" s="12">
        <v>4.8780000000000001</v>
      </c>
      <c r="J32" s="12">
        <v>14047800</v>
      </c>
      <c r="K32" s="12">
        <v>5.8383999999999998E-2</v>
      </c>
      <c r="L32" s="12">
        <v>7412920</v>
      </c>
      <c r="M32" s="12">
        <v>6.4025400000000001</v>
      </c>
      <c r="N32" s="12">
        <v>7.29</v>
      </c>
      <c r="O32" s="12">
        <v>93.416600000000003</v>
      </c>
      <c r="P32" s="12">
        <v>57.11</v>
      </c>
      <c r="Q32" s="12">
        <v>10.4894</v>
      </c>
      <c r="R32" s="12">
        <v>15.16</v>
      </c>
      <c r="S32" s="12"/>
      <c r="T32" s="12">
        <v>29.736999999999998</v>
      </c>
      <c r="U32" s="12">
        <v>3.21</v>
      </c>
      <c r="V32" s="12"/>
      <c r="W32" s="12"/>
      <c r="X32" s="12">
        <v>84.84</v>
      </c>
      <c r="Y32" s="12">
        <v>44.698900000000002</v>
      </c>
      <c r="Z32" s="11">
        <f t="shared" si="0"/>
        <v>17</v>
      </c>
    </row>
    <row r="33" spans="1:26" x14ac:dyDescent="0.2">
      <c r="A33" s="2">
        <v>32</v>
      </c>
      <c r="B33" s="10" t="s">
        <v>260</v>
      </c>
      <c r="C33" s="11" t="s">
        <v>44</v>
      </c>
      <c r="D33" s="11" t="s">
        <v>435</v>
      </c>
      <c r="E33" s="12">
        <v>38.755000000000003</v>
      </c>
      <c r="F33" s="12">
        <v>98.74</v>
      </c>
      <c r="G33" s="12"/>
      <c r="H33" s="12">
        <v>73876</v>
      </c>
      <c r="I33" s="12">
        <v>1.522</v>
      </c>
      <c r="J33" s="12">
        <v>524877</v>
      </c>
      <c r="K33" s="12">
        <v>1.06515</v>
      </c>
      <c r="L33" s="12">
        <v>354788</v>
      </c>
      <c r="M33" s="12">
        <v>5.8552200000000001</v>
      </c>
      <c r="N33" s="12">
        <v>3.6</v>
      </c>
      <c r="O33" s="12">
        <v>93.528999999999996</v>
      </c>
      <c r="P33" s="12">
        <v>73.36</v>
      </c>
      <c r="Q33" s="12">
        <v>0</v>
      </c>
      <c r="R33" s="12">
        <v>68.412000000000006</v>
      </c>
      <c r="S33" s="12"/>
      <c r="T33" s="12">
        <v>95.094800000000006</v>
      </c>
      <c r="U33" s="12">
        <v>3.76</v>
      </c>
      <c r="V33" s="12">
        <v>37.607599999999998</v>
      </c>
      <c r="W33" s="12"/>
      <c r="X33" s="12">
        <v>31.588000000000001</v>
      </c>
      <c r="Y33" s="12">
        <v>25.5473</v>
      </c>
      <c r="Z33" s="11">
        <f t="shared" si="0"/>
        <v>18</v>
      </c>
    </row>
    <row r="34" spans="1:26" x14ac:dyDescent="0.2">
      <c r="A34" s="2">
        <v>33</v>
      </c>
      <c r="B34" s="10" t="s">
        <v>491</v>
      </c>
      <c r="C34" s="11" t="s">
        <v>492</v>
      </c>
      <c r="D34" s="11" t="s">
        <v>517</v>
      </c>
      <c r="E34" s="12">
        <v>46.89</v>
      </c>
      <c r="F34" s="12">
        <v>95.97</v>
      </c>
      <c r="G34" s="12">
        <v>4.3083</v>
      </c>
      <c r="H34" s="12">
        <v>2348790000</v>
      </c>
      <c r="I34" s="12">
        <v>2.5790000000000002</v>
      </c>
      <c r="J34" s="12">
        <v>17638800</v>
      </c>
      <c r="K34" s="12">
        <v>1.13758</v>
      </c>
      <c r="L34" s="12">
        <v>11296400</v>
      </c>
      <c r="M34" s="12">
        <v>0.92245100000000002</v>
      </c>
      <c r="N34" s="12">
        <v>62.63</v>
      </c>
      <c r="O34" s="12">
        <v>90.690299999999993</v>
      </c>
      <c r="P34" s="12">
        <v>68.66</v>
      </c>
      <c r="Q34" s="12">
        <v>16.507899999999999</v>
      </c>
      <c r="R34" s="12">
        <v>26.035</v>
      </c>
      <c r="S34" s="12">
        <v>60.1524</v>
      </c>
      <c r="T34" s="12">
        <v>143.447</v>
      </c>
      <c r="U34" s="12">
        <v>3.93</v>
      </c>
      <c r="V34" s="12"/>
      <c r="W34" s="12"/>
      <c r="X34" s="12">
        <v>73.965000000000003</v>
      </c>
      <c r="Y34" s="12">
        <v>29.793099999999999</v>
      </c>
      <c r="Z34" s="11">
        <f t="shared" si="0"/>
        <v>19</v>
      </c>
    </row>
    <row r="35" spans="1:26" x14ac:dyDescent="0.2">
      <c r="A35" s="2">
        <v>34</v>
      </c>
      <c r="B35" s="10" t="s">
        <v>258</v>
      </c>
      <c r="C35" s="11" t="s">
        <v>39</v>
      </c>
      <c r="D35" s="11" t="s">
        <v>434</v>
      </c>
      <c r="E35" s="12">
        <v>106.661</v>
      </c>
      <c r="F35" s="12">
        <v>86.24</v>
      </c>
      <c r="G35" s="12">
        <v>2.3384</v>
      </c>
      <c r="H35" s="12">
        <v>5718460</v>
      </c>
      <c r="I35" s="12">
        <v>4.3220000000000001</v>
      </c>
      <c r="J35" s="12">
        <v>29123700</v>
      </c>
      <c r="K35" s="12">
        <v>0.37478299999999998</v>
      </c>
      <c r="L35" s="12">
        <v>16240300</v>
      </c>
      <c r="M35" s="12">
        <v>9.6638300000000008</v>
      </c>
      <c r="N35" s="12">
        <v>84.68</v>
      </c>
      <c r="O35" s="12">
        <v>92.873900000000006</v>
      </c>
      <c r="P35" s="12">
        <v>55.93</v>
      </c>
      <c r="Q35" s="12">
        <v>13.8545</v>
      </c>
      <c r="R35" s="12">
        <v>59.892000000000003</v>
      </c>
      <c r="S35" s="12">
        <v>45.602200000000003</v>
      </c>
      <c r="T35" s="12">
        <v>35.886200000000002</v>
      </c>
      <c r="U35" s="12">
        <v>3.65</v>
      </c>
      <c r="V35" s="12">
        <v>42.935400000000001</v>
      </c>
      <c r="W35" s="12"/>
      <c r="X35" s="12">
        <v>40.107999999999997</v>
      </c>
      <c r="Y35" s="12">
        <v>41.4422</v>
      </c>
      <c r="Z35" s="11">
        <f t="shared" si="0"/>
        <v>20</v>
      </c>
    </row>
    <row r="36" spans="1:26" x14ac:dyDescent="0.2">
      <c r="A36" s="2">
        <v>35</v>
      </c>
      <c r="B36" s="10" t="s">
        <v>493</v>
      </c>
      <c r="C36" s="11" t="s">
        <v>494</v>
      </c>
      <c r="D36" s="11" t="s">
        <v>517</v>
      </c>
      <c r="E36" s="12">
        <v>4.8049999999999997</v>
      </c>
      <c r="F36" s="12"/>
      <c r="G36" s="12">
        <v>37.357100000000003</v>
      </c>
      <c r="H36" s="12">
        <v>37253600000</v>
      </c>
      <c r="I36" s="12">
        <v>1.26</v>
      </c>
      <c r="J36" s="12">
        <v>41288600</v>
      </c>
      <c r="K36" s="12">
        <v>13.599399999999999</v>
      </c>
      <c r="L36" s="12">
        <v>26874400</v>
      </c>
      <c r="M36" s="12">
        <v>7.2559199999999997</v>
      </c>
      <c r="N36" s="12">
        <v>1632.72</v>
      </c>
      <c r="O36" s="12">
        <v>99.9559</v>
      </c>
      <c r="P36" s="12">
        <v>82.14</v>
      </c>
      <c r="Q36" s="12">
        <v>66.870400000000004</v>
      </c>
      <c r="R36" s="12">
        <v>81.98</v>
      </c>
      <c r="S36" s="12">
        <v>92.834000000000003</v>
      </c>
      <c r="T36" s="12">
        <v>65.179000000000002</v>
      </c>
      <c r="U36" s="12">
        <v>5.35</v>
      </c>
      <c r="V36" s="12">
        <v>12.8111</v>
      </c>
      <c r="W36" s="12">
        <v>10.135899999999999</v>
      </c>
      <c r="X36" s="12">
        <v>18.02</v>
      </c>
      <c r="Y36" s="12">
        <v>15.1113</v>
      </c>
      <c r="Z36" s="11">
        <f t="shared" si="0"/>
        <v>20</v>
      </c>
    </row>
    <row r="37" spans="1:26" x14ac:dyDescent="0.2">
      <c r="A37" s="2">
        <v>36</v>
      </c>
      <c r="B37" s="10" t="s">
        <v>413</v>
      </c>
      <c r="C37" s="11" t="s">
        <v>48</v>
      </c>
      <c r="D37" s="11" t="s">
        <v>518</v>
      </c>
      <c r="E37" s="12">
        <v>11.337999999999999</v>
      </c>
      <c r="F37" s="12">
        <v>98.906800000000004</v>
      </c>
      <c r="G37" s="12"/>
      <c r="H37" s="12">
        <v>6973390</v>
      </c>
      <c r="I37" s="12">
        <v>1.5309999999999999</v>
      </c>
      <c r="J37" s="12">
        <v>74457</v>
      </c>
      <c r="K37" s="12"/>
      <c r="L37" s="12">
        <v>55705</v>
      </c>
      <c r="M37" s="12">
        <v>10.902100000000001</v>
      </c>
      <c r="N37" s="12"/>
      <c r="O37" s="12"/>
      <c r="P37" s="12"/>
      <c r="Q37" s="12">
        <v>0</v>
      </c>
      <c r="R37" s="12">
        <v>100</v>
      </c>
      <c r="S37" s="12"/>
      <c r="T37" s="12">
        <v>105.473</v>
      </c>
      <c r="U37" s="12"/>
      <c r="V37" s="12"/>
      <c r="W37" s="12"/>
      <c r="X37" s="12">
        <v>0</v>
      </c>
      <c r="Y37" s="12">
        <v>16.187799999999999</v>
      </c>
      <c r="Z37" s="11">
        <f t="shared" si="0"/>
        <v>12</v>
      </c>
    </row>
    <row r="38" spans="1:26" x14ac:dyDescent="0.2">
      <c r="A38" s="2">
        <v>37</v>
      </c>
      <c r="B38" s="10" t="s">
        <v>409</v>
      </c>
      <c r="C38" s="11" t="s">
        <v>33</v>
      </c>
      <c r="D38" s="11" t="s">
        <v>434</v>
      </c>
      <c r="E38" s="12">
        <v>163.09299999999999</v>
      </c>
      <c r="F38" s="12">
        <v>38.340000000000003</v>
      </c>
      <c r="G38" s="12"/>
      <c r="H38" s="12">
        <v>221989</v>
      </c>
      <c r="I38" s="12">
        <v>6.0119999999999996</v>
      </c>
      <c r="J38" s="12">
        <v>5330690</v>
      </c>
      <c r="K38" s="12">
        <v>4.4282099999999998E-2</v>
      </c>
      <c r="L38" s="12">
        <v>2603810</v>
      </c>
      <c r="M38" s="12"/>
      <c r="N38" s="12"/>
      <c r="O38" s="12">
        <v>64.170599999999993</v>
      </c>
      <c r="P38" s="12"/>
      <c r="Q38" s="12">
        <v>8.3333300000000001</v>
      </c>
      <c r="R38" s="12">
        <v>44.13</v>
      </c>
      <c r="S38" s="12"/>
      <c r="T38" s="12">
        <v>47.8232</v>
      </c>
      <c r="U38" s="12"/>
      <c r="V38" s="12"/>
      <c r="W38" s="12"/>
      <c r="X38" s="12">
        <v>55.87</v>
      </c>
      <c r="Y38" s="12">
        <v>49.003399999999999</v>
      </c>
      <c r="Z38" s="11">
        <f t="shared" si="0"/>
        <v>13</v>
      </c>
    </row>
    <row r="39" spans="1:26" x14ac:dyDescent="0.2">
      <c r="A39" s="2">
        <v>38</v>
      </c>
      <c r="B39" s="10" t="s">
        <v>380</v>
      </c>
      <c r="C39" s="11" t="s">
        <v>181</v>
      </c>
      <c r="D39" s="11" t="s">
        <v>434</v>
      </c>
      <c r="E39" s="12">
        <v>134.738</v>
      </c>
      <c r="F39" s="12">
        <v>36.07</v>
      </c>
      <c r="G39" s="12"/>
      <c r="H39" s="12"/>
      <c r="I39" s="12">
        <v>6.12</v>
      </c>
      <c r="J39" s="12">
        <v>20299100</v>
      </c>
      <c r="K39" s="12">
        <v>9.4228199999999998E-2</v>
      </c>
      <c r="L39" s="12">
        <v>10522000</v>
      </c>
      <c r="M39" s="12"/>
      <c r="N39" s="12">
        <v>26.81</v>
      </c>
      <c r="O39" s="12">
        <v>73.466499999999996</v>
      </c>
      <c r="P39" s="12">
        <v>51.87</v>
      </c>
      <c r="Q39" s="12">
        <v>32.092599999999997</v>
      </c>
      <c r="R39" s="12">
        <v>24.690999999999999</v>
      </c>
      <c r="S39" s="12"/>
      <c r="T39" s="12">
        <v>45.3626</v>
      </c>
      <c r="U39" s="12">
        <v>2.99</v>
      </c>
      <c r="V39" s="12"/>
      <c r="W39" s="12"/>
      <c r="X39" s="12">
        <v>75.308999999999997</v>
      </c>
      <c r="Y39" s="12">
        <v>46.064599999999999</v>
      </c>
      <c r="Z39" s="11">
        <f t="shared" si="0"/>
        <v>15</v>
      </c>
    </row>
    <row r="40" spans="1:26" x14ac:dyDescent="0.2">
      <c r="A40" s="2">
        <v>39</v>
      </c>
      <c r="B40" s="10" t="s">
        <v>405</v>
      </c>
      <c r="C40" s="11" t="s">
        <v>35</v>
      </c>
      <c r="D40" s="11" t="s">
        <v>431</v>
      </c>
      <c r="E40" s="12">
        <v>8.6809999999999992</v>
      </c>
      <c r="F40" s="12"/>
      <c r="G40" s="12"/>
      <c r="H40" s="12"/>
      <c r="I40" s="12">
        <v>1.37</v>
      </c>
      <c r="J40" s="12">
        <v>168126</v>
      </c>
      <c r="K40" s="12"/>
      <c r="L40" s="12">
        <v>110570</v>
      </c>
      <c r="M40" s="12"/>
      <c r="N40" s="12"/>
      <c r="O40" s="12"/>
      <c r="P40" s="12"/>
      <c r="Q40" s="12">
        <v>0</v>
      </c>
      <c r="R40" s="12">
        <v>31.257000000000001</v>
      </c>
      <c r="S40" s="12"/>
      <c r="T40" s="12"/>
      <c r="U40" s="12"/>
      <c r="V40" s="12"/>
      <c r="W40" s="12"/>
      <c r="X40" s="12">
        <v>68.742999999999995</v>
      </c>
      <c r="Y40" s="12">
        <v>14.204000000000001</v>
      </c>
      <c r="Z40" s="11">
        <f t="shared" si="0"/>
        <v>8</v>
      </c>
    </row>
    <row r="41" spans="1:26" x14ac:dyDescent="0.2">
      <c r="A41" s="2">
        <v>40</v>
      </c>
      <c r="B41" s="10" t="s">
        <v>255</v>
      </c>
      <c r="C41" s="11" t="s">
        <v>36</v>
      </c>
      <c r="D41" s="11" t="s">
        <v>519</v>
      </c>
      <c r="E41" s="12">
        <v>6.5419999999999998</v>
      </c>
      <c r="F41" s="12">
        <v>99.12</v>
      </c>
      <c r="G41" s="12">
        <v>14.421799999999999</v>
      </c>
      <c r="H41" s="12">
        <v>1841780000</v>
      </c>
      <c r="I41" s="12">
        <v>1.167</v>
      </c>
      <c r="J41" s="12">
        <v>19764800</v>
      </c>
      <c r="K41" s="12">
        <v>4.3951500000000001</v>
      </c>
      <c r="L41" s="12">
        <v>13617700</v>
      </c>
      <c r="M41" s="12">
        <v>1.0567299999999999</v>
      </c>
      <c r="N41" s="12">
        <v>428.24</v>
      </c>
      <c r="O41" s="12">
        <v>94.775899999999993</v>
      </c>
      <c r="P41" s="12">
        <v>81.790000000000006</v>
      </c>
      <c r="Q41" s="12">
        <v>67.055599999999998</v>
      </c>
      <c r="R41" s="12">
        <v>88.116</v>
      </c>
      <c r="S41" s="12">
        <v>90.193399999999997</v>
      </c>
      <c r="T41" s="12">
        <v>63.859900000000003</v>
      </c>
      <c r="U41" s="12">
        <v>4.71</v>
      </c>
      <c r="V41" s="12"/>
      <c r="W41" s="12">
        <v>11.687900000000001</v>
      </c>
      <c r="X41" s="12">
        <v>11.884</v>
      </c>
      <c r="Y41" s="12">
        <v>16.966200000000001</v>
      </c>
      <c r="Z41" s="11">
        <f t="shared" si="0"/>
        <v>20</v>
      </c>
    </row>
    <row r="42" spans="1:26" x14ac:dyDescent="0.2">
      <c r="A42" s="2">
        <v>41</v>
      </c>
      <c r="B42" s="10" t="s">
        <v>256</v>
      </c>
      <c r="C42" s="11" t="s">
        <v>37</v>
      </c>
      <c r="D42" s="11" t="s">
        <v>437</v>
      </c>
      <c r="E42" s="12">
        <v>5.2270000000000003</v>
      </c>
      <c r="F42" s="12">
        <v>99.81</v>
      </c>
      <c r="G42" s="12">
        <v>22.398099999999999</v>
      </c>
      <c r="H42" s="12">
        <v>825045000000</v>
      </c>
      <c r="I42" s="12">
        <v>0.999</v>
      </c>
      <c r="J42" s="12">
        <v>1408980000</v>
      </c>
      <c r="K42" s="12">
        <v>7.7561400000000003</v>
      </c>
      <c r="L42" s="12">
        <v>976799000</v>
      </c>
      <c r="M42" s="12">
        <v>3.8583799999999999</v>
      </c>
      <c r="N42" s="12">
        <v>22462.5</v>
      </c>
      <c r="O42" s="12">
        <v>89.3489</v>
      </c>
      <c r="P42" s="12">
        <v>75.989999999999995</v>
      </c>
      <c r="Q42" s="12">
        <v>58.4101</v>
      </c>
      <c r="R42" s="12">
        <v>65.543999999999997</v>
      </c>
      <c r="S42" s="12">
        <v>75.6113</v>
      </c>
      <c r="T42" s="12">
        <v>37.198399999999999</v>
      </c>
      <c r="U42" s="12">
        <v>5</v>
      </c>
      <c r="V42" s="12"/>
      <c r="W42" s="12">
        <v>4.8813000000000004</v>
      </c>
      <c r="X42" s="12">
        <v>34.456000000000003</v>
      </c>
      <c r="Y42" s="12">
        <v>16.0078</v>
      </c>
      <c r="Z42" s="11">
        <f t="shared" si="0"/>
        <v>20</v>
      </c>
    </row>
    <row r="43" spans="1:26" x14ac:dyDescent="0.2">
      <c r="A43" s="2">
        <v>42</v>
      </c>
      <c r="B43" s="10" t="s">
        <v>259</v>
      </c>
      <c r="C43" s="11" t="s">
        <v>42</v>
      </c>
      <c r="D43" s="11" t="s">
        <v>519</v>
      </c>
      <c r="E43" s="12">
        <v>59.472999999999999</v>
      </c>
      <c r="F43" s="12">
        <v>99.05</v>
      </c>
      <c r="G43" s="12">
        <v>17.16</v>
      </c>
      <c r="H43" s="12">
        <v>873209000</v>
      </c>
      <c r="I43" s="12">
        <v>1.645</v>
      </c>
      <c r="J43" s="12">
        <v>52886400</v>
      </c>
      <c r="K43" s="12">
        <v>1.55226</v>
      </c>
      <c r="L43" s="12">
        <v>36993700</v>
      </c>
      <c r="M43" s="12">
        <v>3.07043</v>
      </c>
      <c r="N43" s="12">
        <v>661.96</v>
      </c>
      <c r="O43" s="12">
        <v>97.758099999999999</v>
      </c>
      <c r="P43" s="12">
        <v>74.180000000000007</v>
      </c>
      <c r="Q43" s="12">
        <v>48.923299999999998</v>
      </c>
      <c r="R43" s="12">
        <v>82.652000000000001</v>
      </c>
      <c r="S43" s="12">
        <v>72.796400000000006</v>
      </c>
      <c r="T43" s="12">
        <v>36.8887</v>
      </c>
      <c r="U43" s="12">
        <v>4.29</v>
      </c>
      <c r="V43" s="12"/>
      <c r="W43" s="12">
        <v>8.7231299999999994</v>
      </c>
      <c r="X43" s="12">
        <v>17.347999999999999</v>
      </c>
      <c r="Y43" s="12">
        <v>20.272099999999998</v>
      </c>
      <c r="Z43" s="11">
        <f t="shared" si="0"/>
        <v>20</v>
      </c>
    </row>
    <row r="44" spans="1:26" x14ac:dyDescent="0.2">
      <c r="A44" s="2">
        <v>43</v>
      </c>
      <c r="B44" s="10" t="s">
        <v>412</v>
      </c>
      <c r="C44" s="11" t="s">
        <v>43</v>
      </c>
      <c r="D44" s="13" t="s">
        <v>432</v>
      </c>
      <c r="E44" s="12">
        <v>55.232999999999997</v>
      </c>
      <c r="F44" s="12">
        <v>82.02</v>
      </c>
      <c r="G44" s="12"/>
      <c r="H44" s="12">
        <v>28418</v>
      </c>
      <c r="I44" s="12">
        <v>3.8780000000000001</v>
      </c>
      <c r="J44" s="12">
        <v>866628</v>
      </c>
      <c r="K44" s="12">
        <v>0.40711199999999997</v>
      </c>
      <c r="L44" s="12">
        <v>506166</v>
      </c>
      <c r="M44" s="12">
        <v>12.5143</v>
      </c>
      <c r="N44" s="12"/>
      <c r="O44" s="12">
        <v>81.739000000000004</v>
      </c>
      <c r="P44" s="12"/>
      <c r="Q44" s="12">
        <v>0</v>
      </c>
      <c r="R44" s="12">
        <v>30.417999999999999</v>
      </c>
      <c r="S44" s="12"/>
      <c r="T44" s="12">
        <v>44.373199999999997</v>
      </c>
      <c r="U44" s="12"/>
      <c r="V44" s="12"/>
      <c r="W44" s="12"/>
      <c r="X44" s="12">
        <v>69.581999999999994</v>
      </c>
      <c r="Y44" s="12">
        <v>37.121400000000001</v>
      </c>
      <c r="Z44" s="11">
        <f t="shared" si="0"/>
        <v>14</v>
      </c>
    </row>
    <row r="45" spans="1:26" x14ac:dyDescent="0.2">
      <c r="A45" s="2">
        <v>44</v>
      </c>
      <c r="B45" s="10" t="s">
        <v>411</v>
      </c>
      <c r="C45" s="11" t="s">
        <v>41</v>
      </c>
      <c r="D45" s="13" t="s">
        <v>432</v>
      </c>
      <c r="E45" s="12">
        <v>109.88</v>
      </c>
      <c r="F45" s="12">
        <v>82.36</v>
      </c>
      <c r="G45" s="12"/>
      <c r="H45" s="12">
        <v>27110100</v>
      </c>
      <c r="I45" s="12">
        <v>4.157</v>
      </c>
      <c r="J45" s="12">
        <v>6332960</v>
      </c>
      <c r="K45" s="12">
        <v>1.2545900000000001</v>
      </c>
      <c r="L45" s="12">
        <v>3582470</v>
      </c>
      <c r="M45" s="12">
        <v>6.2679900000000002</v>
      </c>
      <c r="N45" s="12"/>
      <c r="O45" s="12">
        <v>89.294200000000004</v>
      </c>
      <c r="P45" s="12"/>
      <c r="Q45" s="12">
        <v>3.0555599999999998</v>
      </c>
      <c r="R45" s="12">
        <v>69.638000000000005</v>
      </c>
      <c r="S45" s="12"/>
      <c r="T45" s="12">
        <v>93.188100000000006</v>
      </c>
      <c r="U45" s="12"/>
      <c r="V45" s="12"/>
      <c r="W45" s="12"/>
      <c r="X45" s="12">
        <v>30.361999999999998</v>
      </c>
      <c r="Y45" s="12">
        <v>40.445799999999998</v>
      </c>
      <c r="Z45" s="11">
        <f t="shared" si="0"/>
        <v>14</v>
      </c>
    </row>
    <row r="46" spans="1:26" x14ac:dyDescent="0.2">
      <c r="A46" s="2">
        <v>45</v>
      </c>
      <c r="B46" s="10" t="s">
        <v>410</v>
      </c>
      <c r="C46" s="11" t="s">
        <v>40</v>
      </c>
      <c r="D46" s="13" t="s">
        <v>432</v>
      </c>
      <c r="E46" s="12">
        <v>106.884</v>
      </c>
      <c r="F46" s="12">
        <v>88.1</v>
      </c>
      <c r="G46" s="12"/>
      <c r="H46" s="12">
        <v>9864320</v>
      </c>
      <c r="I46" s="12">
        <v>6.0510000000000002</v>
      </c>
      <c r="J46" s="12">
        <v>109276000</v>
      </c>
      <c r="K46" s="12">
        <v>3.2584799999999997E-2</v>
      </c>
      <c r="L46" s="12">
        <v>55612300</v>
      </c>
      <c r="M46" s="12">
        <v>0.64699700000000004</v>
      </c>
      <c r="N46" s="12">
        <v>64.819999999999993</v>
      </c>
      <c r="O46" s="12">
        <v>36.804099999999998</v>
      </c>
      <c r="P46" s="12">
        <v>59.02</v>
      </c>
      <c r="Q46" s="12">
        <v>16.394200000000001</v>
      </c>
      <c r="R46" s="12">
        <v>48.055</v>
      </c>
      <c r="S46" s="12"/>
      <c r="T46" s="12">
        <v>97.494600000000005</v>
      </c>
      <c r="U46" s="12">
        <v>3.27</v>
      </c>
      <c r="V46" s="12"/>
      <c r="W46" s="12"/>
      <c r="X46" s="12">
        <v>51.945</v>
      </c>
      <c r="Y46" s="12">
        <v>46.033000000000001</v>
      </c>
      <c r="Z46" s="11">
        <f t="shared" si="0"/>
        <v>17</v>
      </c>
    </row>
    <row r="47" spans="1:26" x14ac:dyDescent="0.2">
      <c r="A47" s="2">
        <v>46</v>
      </c>
      <c r="B47" s="10" t="s">
        <v>261</v>
      </c>
      <c r="C47" s="11" t="s">
        <v>45</v>
      </c>
      <c r="D47" s="11" t="s">
        <v>519</v>
      </c>
      <c r="E47" s="12">
        <v>26.251000000000001</v>
      </c>
      <c r="F47" s="12">
        <v>99.53</v>
      </c>
      <c r="G47" s="12">
        <v>25.785</v>
      </c>
      <c r="H47" s="12">
        <v>2809090000</v>
      </c>
      <c r="I47" s="12">
        <v>1.33</v>
      </c>
      <c r="J47" s="12">
        <v>5129910</v>
      </c>
      <c r="K47" s="12">
        <v>1.36</v>
      </c>
      <c r="L47" s="12">
        <v>3538390</v>
      </c>
      <c r="M47" s="12">
        <v>3.9792800000000002</v>
      </c>
      <c r="N47" s="12">
        <v>78.42</v>
      </c>
      <c r="O47" s="12">
        <v>97.408199999999994</v>
      </c>
      <c r="P47" s="12">
        <v>79.59</v>
      </c>
      <c r="Q47" s="12">
        <v>52.240699999999997</v>
      </c>
      <c r="R47" s="12">
        <v>83.167000000000002</v>
      </c>
      <c r="S47" s="12">
        <v>82.597999999999999</v>
      </c>
      <c r="T47" s="12">
        <v>71.331000000000003</v>
      </c>
      <c r="U47" s="12">
        <v>4.5</v>
      </c>
      <c r="V47" s="12"/>
      <c r="W47" s="12">
        <v>7.1428599999999998</v>
      </c>
      <c r="X47" s="12">
        <v>16.832999999999998</v>
      </c>
      <c r="Y47" s="12">
        <v>18.799299999999999</v>
      </c>
      <c r="Z47" s="11">
        <f t="shared" si="0"/>
        <v>20</v>
      </c>
    </row>
    <row r="48" spans="1:26" x14ac:dyDescent="0.2">
      <c r="A48" s="2">
        <v>47</v>
      </c>
      <c r="B48" s="10" t="s">
        <v>257</v>
      </c>
      <c r="C48" s="11" t="s">
        <v>38</v>
      </c>
      <c r="D48" s="11" t="s">
        <v>434</v>
      </c>
      <c r="E48" s="12">
        <v>92.084999999999994</v>
      </c>
      <c r="F48" s="12">
        <v>83.626499999999993</v>
      </c>
      <c r="G48" s="12">
        <v>0.621618</v>
      </c>
      <c r="H48" s="12">
        <v>110019000</v>
      </c>
      <c r="I48" s="12">
        <v>4.2830000000000004</v>
      </c>
      <c r="J48" s="12">
        <v>31934200</v>
      </c>
      <c r="K48" s="12">
        <v>0.40634700000000001</v>
      </c>
      <c r="L48" s="12">
        <v>18049100</v>
      </c>
      <c r="M48" s="12">
        <v>2.4881199999999999</v>
      </c>
      <c r="N48" s="12">
        <v>95.1</v>
      </c>
      <c r="O48" s="12">
        <v>93.692400000000006</v>
      </c>
      <c r="P48" s="12">
        <v>51.56</v>
      </c>
      <c r="Q48" s="12">
        <v>28.407399999999999</v>
      </c>
      <c r="R48" s="12">
        <v>53.643999999999998</v>
      </c>
      <c r="S48" s="12">
        <v>35.478099999999998</v>
      </c>
      <c r="T48" s="12">
        <v>54.666899999999998</v>
      </c>
      <c r="U48" s="12">
        <v>3.86</v>
      </c>
      <c r="V48" s="12">
        <v>32.1068</v>
      </c>
      <c r="W48" s="12"/>
      <c r="X48" s="12">
        <v>46.356000000000002</v>
      </c>
      <c r="Y48" s="12">
        <v>40.871400000000001</v>
      </c>
      <c r="Z48" s="11">
        <f t="shared" si="0"/>
        <v>20</v>
      </c>
    </row>
    <row r="49" spans="1:26" x14ac:dyDescent="0.2">
      <c r="A49" s="2">
        <v>48</v>
      </c>
      <c r="B49" s="10" t="s">
        <v>295</v>
      </c>
      <c r="C49" s="11" t="s">
        <v>85</v>
      </c>
      <c r="D49" s="13" t="s">
        <v>435</v>
      </c>
      <c r="E49" s="12">
        <v>6.57</v>
      </c>
      <c r="F49" s="12">
        <v>99.76</v>
      </c>
      <c r="G49" s="12">
        <v>66.371399999999994</v>
      </c>
      <c r="H49" s="12">
        <v>1738860000</v>
      </c>
      <c r="I49" s="12">
        <v>1.46</v>
      </c>
      <c r="J49" s="12">
        <v>3866300</v>
      </c>
      <c r="K49" s="12">
        <v>3.8607100000000001</v>
      </c>
      <c r="L49" s="12">
        <v>2431480</v>
      </c>
      <c r="M49" s="12">
        <v>2.8199900000000002</v>
      </c>
      <c r="N49" s="12">
        <v>95.47</v>
      </c>
      <c r="O49" s="12">
        <v>97.993600000000001</v>
      </c>
      <c r="P49" s="12">
        <v>77.28</v>
      </c>
      <c r="Q49" s="12">
        <v>59.222200000000001</v>
      </c>
      <c r="R49" s="12">
        <v>58.945</v>
      </c>
      <c r="S49" s="12">
        <v>82.0715</v>
      </c>
      <c r="T49" s="12">
        <v>102.71599999999999</v>
      </c>
      <c r="U49" s="12">
        <v>4.1900000000000004</v>
      </c>
      <c r="V49" s="12"/>
      <c r="W49" s="12"/>
      <c r="X49" s="12">
        <v>41.055</v>
      </c>
      <c r="Y49" s="12">
        <v>13.9232</v>
      </c>
      <c r="Z49" s="11">
        <f t="shared" si="0"/>
        <v>19</v>
      </c>
    </row>
    <row r="50" spans="1:26" x14ac:dyDescent="0.2">
      <c r="A50" s="2">
        <v>49</v>
      </c>
      <c r="B50" s="10" t="s">
        <v>262</v>
      </c>
      <c r="C50" s="11" t="s">
        <v>46</v>
      </c>
      <c r="D50" s="11" t="s">
        <v>518</v>
      </c>
      <c r="E50" s="12">
        <v>48.673999999999999</v>
      </c>
      <c r="F50" s="12">
        <v>99.874600000000001</v>
      </c>
      <c r="G50" s="12"/>
      <c r="H50" s="12">
        <v>13311200</v>
      </c>
      <c r="I50" s="12">
        <v>1.4390000000000001</v>
      </c>
      <c r="J50" s="12">
        <v>10979800</v>
      </c>
      <c r="K50" s="12">
        <v>2.1527699999999999</v>
      </c>
      <c r="L50" s="12">
        <v>7481290</v>
      </c>
      <c r="M50" s="12"/>
      <c r="N50" s="12"/>
      <c r="O50" s="12">
        <v>97.844399999999993</v>
      </c>
      <c r="P50" s="12"/>
      <c r="Q50" s="12">
        <v>0</v>
      </c>
      <c r="R50" s="12">
        <v>77.656999999999996</v>
      </c>
      <c r="S50" s="12"/>
      <c r="T50" s="12">
        <v>108.13500000000001</v>
      </c>
      <c r="U50" s="12"/>
      <c r="V50" s="12"/>
      <c r="W50" s="12"/>
      <c r="X50" s="12">
        <v>22.343</v>
      </c>
      <c r="Y50" s="12">
        <v>15.293900000000001</v>
      </c>
      <c r="Z50" s="11">
        <f t="shared" si="0"/>
        <v>13</v>
      </c>
    </row>
    <row r="51" spans="1:26" x14ac:dyDescent="0.2">
      <c r="A51" s="2">
        <v>50</v>
      </c>
      <c r="B51" s="10" t="s">
        <v>263</v>
      </c>
      <c r="C51" s="11" t="s">
        <v>47</v>
      </c>
      <c r="D51" s="11" t="s">
        <v>519</v>
      </c>
      <c r="E51" s="12">
        <v>12.954000000000001</v>
      </c>
      <c r="F51" s="12"/>
      <c r="G51" s="12"/>
      <c r="H51" s="12"/>
      <c r="I51" s="12">
        <v>1.2</v>
      </c>
      <c r="J51" s="12">
        <v>155900</v>
      </c>
      <c r="K51" s="12"/>
      <c r="L51" s="12">
        <v>106465</v>
      </c>
      <c r="M51" s="12">
        <v>7.4315100000000003</v>
      </c>
      <c r="N51" s="12"/>
      <c r="O51" s="12"/>
      <c r="P51" s="12"/>
      <c r="Q51" s="12">
        <v>0</v>
      </c>
      <c r="R51" s="12">
        <v>89.033000000000001</v>
      </c>
      <c r="S51" s="12"/>
      <c r="T51" s="12">
        <v>155.26900000000001</v>
      </c>
      <c r="U51" s="12"/>
      <c r="V51" s="12"/>
      <c r="W51" s="12"/>
      <c r="X51" s="12">
        <v>10.967000000000001</v>
      </c>
      <c r="Y51" s="12">
        <v>14.927899999999999</v>
      </c>
      <c r="Z51" s="11">
        <f t="shared" si="0"/>
        <v>10</v>
      </c>
    </row>
    <row r="52" spans="1:26" x14ac:dyDescent="0.2">
      <c r="A52" s="2">
        <v>51</v>
      </c>
      <c r="B52" s="10" t="s">
        <v>264</v>
      </c>
      <c r="C52" s="11" t="s">
        <v>49</v>
      </c>
      <c r="D52" s="13" t="s">
        <v>435</v>
      </c>
      <c r="E52" s="12">
        <v>6.9809999999999999</v>
      </c>
      <c r="F52" s="12">
        <v>99.9</v>
      </c>
      <c r="G52" s="12">
        <v>12.1388</v>
      </c>
      <c r="H52" s="12">
        <v>107332000</v>
      </c>
      <c r="I52" s="12">
        <v>1.389</v>
      </c>
      <c r="J52" s="12">
        <v>1358280</v>
      </c>
      <c r="K52" s="12">
        <v>5.4720000000000004</v>
      </c>
      <c r="L52" s="12">
        <v>941447</v>
      </c>
      <c r="M52" s="12">
        <v>4.24756</v>
      </c>
      <c r="N52" s="12">
        <v>30.7</v>
      </c>
      <c r="O52" s="12">
        <v>97.7761</v>
      </c>
      <c r="P52" s="12">
        <v>80.31</v>
      </c>
      <c r="Q52" s="12">
        <v>0</v>
      </c>
      <c r="R52" s="12">
        <v>67.081999999999994</v>
      </c>
      <c r="S52" s="12">
        <v>89.600999999999999</v>
      </c>
      <c r="T52" s="12">
        <v>189.79900000000001</v>
      </c>
      <c r="U52" s="12">
        <v>4.3</v>
      </c>
      <c r="V52" s="12">
        <v>12.3118</v>
      </c>
      <c r="W52" s="12">
        <v>0</v>
      </c>
      <c r="X52" s="12">
        <v>32.917999999999999</v>
      </c>
      <c r="Y52" s="12">
        <v>16.072199999999999</v>
      </c>
      <c r="Z52" s="11">
        <f t="shared" si="0"/>
        <v>21</v>
      </c>
    </row>
    <row r="53" spans="1:26" x14ac:dyDescent="0.2">
      <c r="A53" s="2">
        <v>52</v>
      </c>
      <c r="B53" s="10" t="s">
        <v>265</v>
      </c>
      <c r="C53" s="11" t="s">
        <v>50</v>
      </c>
      <c r="D53" s="11" t="s">
        <v>436</v>
      </c>
      <c r="E53" s="12">
        <v>5.9790000000000001</v>
      </c>
      <c r="F53" s="12"/>
      <c r="G53" s="12">
        <v>3.3511000000000002</v>
      </c>
      <c r="H53" s="14">
        <v>52422400000</v>
      </c>
      <c r="I53" s="12">
        <v>1.45</v>
      </c>
      <c r="J53" s="12">
        <v>10882200</v>
      </c>
      <c r="K53" s="12">
        <v>8.3040199999999995</v>
      </c>
      <c r="L53" s="12">
        <v>6938180</v>
      </c>
      <c r="M53" s="12">
        <v>2.2692600000000001</v>
      </c>
      <c r="N53" s="12">
        <v>351.89</v>
      </c>
      <c r="O53" s="12">
        <v>89.357600000000005</v>
      </c>
      <c r="P53" s="12">
        <v>79.47</v>
      </c>
      <c r="Q53" s="12">
        <v>77.703699999999998</v>
      </c>
      <c r="R53" s="12">
        <v>74.738</v>
      </c>
      <c r="S53" s="12">
        <v>84.540099999999995</v>
      </c>
      <c r="T53" s="12">
        <v>131.91499999999999</v>
      </c>
      <c r="U53" s="12">
        <v>4.7699999999999996</v>
      </c>
      <c r="V53" s="12">
        <v>5.8632499999999999</v>
      </c>
      <c r="W53" s="12">
        <v>4.9651199999999998</v>
      </c>
      <c r="X53" s="12">
        <v>25.262</v>
      </c>
      <c r="Y53" s="12">
        <v>15.3973</v>
      </c>
      <c r="Z53" s="11">
        <f t="shared" si="0"/>
        <v>20</v>
      </c>
    </row>
    <row r="54" spans="1:26" x14ac:dyDescent="0.2">
      <c r="A54" s="2">
        <v>53</v>
      </c>
      <c r="B54" s="10" t="s">
        <v>269</v>
      </c>
      <c r="C54" s="11" t="s">
        <v>54</v>
      </c>
      <c r="D54" s="11" t="s">
        <v>431</v>
      </c>
      <c r="E54" s="12">
        <v>1.1399999999999999</v>
      </c>
      <c r="F54" s="12"/>
      <c r="G54" s="12">
        <v>24.108000000000001</v>
      </c>
      <c r="H54" s="12">
        <v>16067400000</v>
      </c>
      <c r="I54" s="12">
        <v>1.5</v>
      </c>
      <c r="J54" s="12">
        <v>5976990</v>
      </c>
      <c r="K54" s="12">
        <v>4.6912399999999996</v>
      </c>
      <c r="L54" s="12">
        <v>3791660</v>
      </c>
      <c r="M54" s="12">
        <v>5.6926699999999997</v>
      </c>
      <c r="N54" s="12">
        <v>267.83</v>
      </c>
      <c r="O54" s="12">
        <v>98.863299999999995</v>
      </c>
      <c r="P54" s="12">
        <v>81.099999999999994</v>
      </c>
      <c r="Q54" s="12">
        <v>89.518500000000003</v>
      </c>
      <c r="R54" s="12">
        <v>88.626000000000005</v>
      </c>
      <c r="S54" s="12">
        <v>97.860100000000003</v>
      </c>
      <c r="T54" s="12">
        <v>128.643</v>
      </c>
      <c r="U54" s="12">
        <v>5.39</v>
      </c>
      <c r="V54" s="12"/>
      <c r="W54" s="12"/>
      <c r="X54" s="12">
        <v>11.374000000000001</v>
      </c>
      <c r="Y54" s="12">
        <v>15.696400000000001</v>
      </c>
      <c r="Z54" s="11">
        <f t="shared" si="0"/>
        <v>18</v>
      </c>
    </row>
    <row r="55" spans="1:26" x14ac:dyDescent="0.2">
      <c r="A55" s="2">
        <v>54</v>
      </c>
      <c r="B55" s="10" t="s">
        <v>267</v>
      </c>
      <c r="C55" s="11" t="s">
        <v>52</v>
      </c>
      <c r="D55" s="11" t="s">
        <v>440</v>
      </c>
      <c r="E55" s="12">
        <v>18.972000000000001</v>
      </c>
      <c r="F55" s="12"/>
      <c r="G55" s="12"/>
      <c r="H55" s="12">
        <v>88653700</v>
      </c>
      <c r="I55" s="12">
        <v>2.609</v>
      </c>
      <c r="J55" s="12">
        <v>1168720</v>
      </c>
      <c r="K55" s="12">
        <v>0.39232899999999998</v>
      </c>
      <c r="L55" s="12">
        <v>771113</v>
      </c>
      <c r="M55" s="12">
        <v>4.08589</v>
      </c>
      <c r="N55" s="12"/>
      <c r="O55" s="12">
        <v>67.025000000000006</v>
      </c>
      <c r="P55" s="12"/>
      <c r="Q55" s="12">
        <v>0</v>
      </c>
      <c r="R55" s="12">
        <v>78.731999999999999</v>
      </c>
      <c r="S55" s="12"/>
      <c r="T55" s="12">
        <v>309.05099999999999</v>
      </c>
      <c r="U55" s="12"/>
      <c r="V55" s="12"/>
      <c r="W55" s="12"/>
      <c r="X55" s="12">
        <v>21.268000000000001</v>
      </c>
      <c r="Y55" s="12">
        <v>29.170100000000001</v>
      </c>
      <c r="Z55" s="11">
        <f t="shared" si="0"/>
        <v>13</v>
      </c>
    </row>
    <row r="56" spans="1:26" x14ac:dyDescent="0.2">
      <c r="A56" s="2">
        <v>55</v>
      </c>
      <c r="B56" s="10" t="s">
        <v>268</v>
      </c>
      <c r="C56" s="11" t="s">
        <v>53</v>
      </c>
      <c r="D56" s="11" t="s">
        <v>518</v>
      </c>
      <c r="E56" s="12">
        <v>34.137999999999998</v>
      </c>
      <c r="F56" s="12"/>
      <c r="G56" s="12"/>
      <c r="H56" s="12">
        <v>367176</v>
      </c>
      <c r="I56" s="12">
        <v>1.484</v>
      </c>
      <c r="J56" s="12">
        <v>66205</v>
      </c>
      <c r="K56" s="12">
        <v>2.2612700000000001</v>
      </c>
      <c r="L56" s="12">
        <v>45794</v>
      </c>
      <c r="M56" s="12">
        <v>2.9773200000000002</v>
      </c>
      <c r="N56" s="12"/>
      <c r="O56" s="12">
        <v>97.980199999999996</v>
      </c>
      <c r="P56" s="12"/>
      <c r="Q56" s="12">
        <v>0</v>
      </c>
      <c r="R56" s="12">
        <v>72.311999999999998</v>
      </c>
      <c r="S56" s="12"/>
      <c r="T56" s="12"/>
      <c r="U56" s="12"/>
      <c r="V56" s="12"/>
      <c r="W56" s="12"/>
      <c r="X56" s="12">
        <v>27.687999999999999</v>
      </c>
      <c r="Y56" s="12">
        <v>17.8733</v>
      </c>
      <c r="Z56" s="11">
        <f t="shared" si="0"/>
        <v>12</v>
      </c>
    </row>
    <row r="57" spans="1:26" x14ac:dyDescent="0.2">
      <c r="A57" s="2">
        <v>56</v>
      </c>
      <c r="B57" s="10" t="s">
        <v>414</v>
      </c>
      <c r="C57" s="11" t="s">
        <v>55</v>
      </c>
      <c r="D57" s="11" t="s">
        <v>518</v>
      </c>
      <c r="E57" s="12">
        <v>52.774000000000001</v>
      </c>
      <c r="F57" s="12">
        <v>98.99</v>
      </c>
      <c r="G57" s="12">
        <v>7.6087699999999998</v>
      </c>
      <c r="H57" s="12">
        <v>454062000</v>
      </c>
      <c r="I57" s="12">
        <v>2.2429999999999999</v>
      </c>
      <c r="J57" s="12">
        <v>11427600</v>
      </c>
      <c r="K57" s="12">
        <v>2.0801799999999999</v>
      </c>
      <c r="L57" s="12">
        <v>7489840</v>
      </c>
      <c r="M57" s="12">
        <v>2.1869900000000002</v>
      </c>
      <c r="N57" s="12">
        <v>168.21</v>
      </c>
      <c r="O57" s="12">
        <v>93.867400000000004</v>
      </c>
      <c r="P57" s="12">
        <v>73.680000000000007</v>
      </c>
      <c r="Q57" s="12">
        <v>31.248699999999999</v>
      </c>
      <c r="R57" s="12">
        <v>85.010999999999996</v>
      </c>
      <c r="S57" s="12">
        <v>85.242999999999995</v>
      </c>
      <c r="T57" s="12">
        <v>51.783499999999997</v>
      </c>
      <c r="U57" s="12">
        <v>3.87</v>
      </c>
      <c r="V57" s="12"/>
      <c r="W57" s="12">
        <v>10.416700000000001</v>
      </c>
      <c r="X57" s="12">
        <v>14.989000000000001</v>
      </c>
      <c r="Y57" s="12">
        <v>26.578700000000001</v>
      </c>
      <c r="Z57" s="11">
        <f t="shared" si="0"/>
        <v>20</v>
      </c>
    </row>
    <row r="58" spans="1:26" x14ac:dyDescent="0.2">
      <c r="A58" s="2">
        <v>57</v>
      </c>
      <c r="B58" s="10" t="s">
        <v>271</v>
      </c>
      <c r="C58" s="11" t="s">
        <v>57</v>
      </c>
      <c r="D58" s="11" t="s">
        <v>519</v>
      </c>
      <c r="E58" s="12">
        <v>55.530999999999999</v>
      </c>
      <c r="F58" s="12">
        <v>99.131</v>
      </c>
      <c r="G58" s="12">
        <v>7.9706400000000004</v>
      </c>
      <c r="H58" s="12">
        <v>106992000</v>
      </c>
      <c r="I58" s="12">
        <v>1.823</v>
      </c>
      <c r="J58" s="12">
        <v>18135500</v>
      </c>
      <c r="K58" s="12">
        <v>1.9575800000000001</v>
      </c>
      <c r="L58" s="12">
        <v>12187100</v>
      </c>
      <c r="M58" s="12">
        <v>2.6307</v>
      </c>
      <c r="N58" s="12">
        <v>177.31</v>
      </c>
      <c r="O58" s="12">
        <v>97.580399999999997</v>
      </c>
      <c r="P58" s="12">
        <v>76.099999999999994</v>
      </c>
      <c r="Q58" s="12">
        <v>40.870399999999997</v>
      </c>
      <c r="R58" s="12">
        <v>65.028999999999996</v>
      </c>
      <c r="S58" s="12">
        <v>69.718100000000007</v>
      </c>
      <c r="T58" s="12">
        <v>57.203099999999999</v>
      </c>
      <c r="U58" s="12">
        <v>3.91</v>
      </c>
      <c r="V58" s="12"/>
      <c r="W58" s="12">
        <v>13.3919</v>
      </c>
      <c r="X58" s="12">
        <v>34.970999999999997</v>
      </c>
      <c r="Y58" s="12">
        <v>24.4558</v>
      </c>
      <c r="Z58" s="11">
        <f t="shared" si="0"/>
        <v>20</v>
      </c>
    </row>
    <row r="59" spans="1:26" x14ac:dyDescent="0.2">
      <c r="A59" s="2">
        <v>58</v>
      </c>
      <c r="B59" s="10" t="s">
        <v>272</v>
      </c>
      <c r="C59" s="11" t="s">
        <v>58</v>
      </c>
      <c r="D59" s="11" t="s">
        <v>440</v>
      </c>
      <c r="E59" s="12">
        <v>41.753999999999998</v>
      </c>
      <c r="F59" s="12">
        <v>92.24</v>
      </c>
      <c r="G59" s="12">
        <v>13.217000000000001</v>
      </c>
      <c r="H59" s="12">
        <v>697613000</v>
      </c>
      <c r="I59" s="12">
        <v>2.75</v>
      </c>
      <c r="J59" s="12">
        <v>116538000</v>
      </c>
      <c r="K59" s="12">
        <v>1.96112</v>
      </c>
      <c r="L59" s="12">
        <v>73289800</v>
      </c>
      <c r="M59" s="12">
        <v>3.5567299999999999</v>
      </c>
      <c r="N59" s="12">
        <v>1152.26</v>
      </c>
      <c r="O59" s="12">
        <v>98.457800000000006</v>
      </c>
      <c r="P59" s="12">
        <v>71.319999999999993</v>
      </c>
      <c r="Q59" s="12">
        <v>44.187800000000003</v>
      </c>
      <c r="R59" s="12">
        <v>43.258000000000003</v>
      </c>
      <c r="S59" s="12">
        <v>72.198099999999997</v>
      </c>
      <c r="T59" s="12">
        <v>39.6008</v>
      </c>
      <c r="U59" s="12">
        <v>3.9</v>
      </c>
      <c r="V59" s="12"/>
      <c r="W59" s="12">
        <v>1.0309299999999999</v>
      </c>
      <c r="X59" s="12">
        <v>56.741999999999997</v>
      </c>
      <c r="Y59" s="12">
        <v>31.994700000000002</v>
      </c>
      <c r="Z59" s="11">
        <f t="shared" si="0"/>
        <v>20</v>
      </c>
    </row>
    <row r="60" spans="1:26" x14ac:dyDescent="0.2">
      <c r="A60" s="2">
        <v>59</v>
      </c>
      <c r="B60" s="10" t="s">
        <v>366</v>
      </c>
      <c r="C60" s="11" t="s">
        <v>166</v>
      </c>
      <c r="D60" s="11" t="s">
        <v>519</v>
      </c>
      <c r="E60" s="12">
        <v>54.23</v>
      </c>
      <c r="F60" s="12">
        <v>98.51</v>
      </c>
      <c r="G60" s="12">
        <v>5.6835599999999999</v>
      </c>
      <c r="H60" s="12">
        <v>247046000</v>
      </c>
      <c r="I60" s="12">
        <v>1.7749999999999999</v>
      </c>
      <c r="J60" s="12">
        <v>6338190</v>
      </c>
      <c r="K60" s="12">
        <v>1.01328</v>
      </c>
      <c r="L60" s="12">
        <v>4249460</v>
      </c>
      <c r="M60" s="12">
        <v>1.55063</v>
      </c>
      <c r="N60" s="12">
        <v>47.47</v>
      </c>
      <c r="O60" s="12">
        <v>81.600300000000004</v>
      </c>
      <c r="P60" s="12">
        <v>73</v>
      </c>
      <c r="Q60" s="12">
        <v>27.391500000000001</v>
      </c>
      <c r="R60" s="12">
        <v>75.995999999999995</v>
      </c>
      <c r="S60" s="12">
        <v>62.880299999999998</v>
      </c>
      <c r="T60" s="12">
        <v>84.659599999999998</v>
      </c>
      <c r="U60" s="12">
        <v>3.77</v>
      </c>
      <c r="V60" s="12"/>
      <c r="W60" s="12">
        <v>5.3738299999999999</v>
      </c>
      <c r="X60" s="12">
        <v>24.004000000000001</v>
      </c>
      <c r="Y60" s="12">
        <v>24.806100000000001</v>
      </c>
      <c r="Z60" s="11">
        <f t="shared" si="0"/>
        <v>20</v>
      </c>
    </row>
    <row r="61" spans="1:26" x14ac:dyDescent="0.2">
      <c r="A61" s="2">
        <v>60</v>
      </c>
      <c r="B61" s="10" t="s">
        <v>286</v>
      </c>
      <c r="C61" s="11" t="s">
        <v>76</v>
      </c>
      <c r="D61" s="11" t="s">
        <v>434</v>
      </c>
      <c r="E61" s="12">
        <v>150.44200000000001</v>
      </c>
      <c r="F61" s="12">
        <v>97.966999999999999</v>
      </c>
      <c r="G61" s="12"/>
      <c r="H61" s="12"/>
      <c r="I61" s="12">
        <v>4.0810000000000004</v>
      </c>
      <c r="J61" s="12">
        <v>1892520</v>
      </c>
      <c r="K61" s="12">
        <v>2.72573</v>
      </c>
      <c r="L61" s="12">
        <v>1117090</v>
      </c>
      <c r="M61" s="12">
        <v>2.7275499999999999</v>
      </c>
      <c r="N61" s="12"/>
      <c r="O61" s="12">
        <v>44.345700000000001</v>
      </c>
      <c r="P61" s="12"/>
      <c r="Q61" s="12">
        <v>0</v>
      </c>
      <c r="R61" s="12">
        <v>74.873999999999995</v>
      </c>
      <c r="S61" s="12"/>
      <c r="T61" s="12">
        <v>60.541499999999999</v>
      </c>
      <c r="U61" s="12"/>
      <c r="V61" s="12"/>
      <c r="W61" s="12"/>
      <c r="X61" s="12">
        <v>25.126000000000001</v>
      </c>
      <c r="Y61" s="12">
        <v>37.285499999999999</v>
      </c>
      <c r="Z61" s="11">
        <f t="shared" si="0"/>
        <v>13</v>
      </c>
    </row>
    <row r="62" spans="1:26" x14ac:dyDescent="0.2">
      <c r="A62" s="2">
        <v>61</v>
      </c>
      <c r="B62" s="10" t="s">
        <v>273</v>
      </c>
      <c r="C62" s="11" t="s">
        <v>59</v>
      </c>
      <c r="D62" s="11" t="s">
        <v>440</v>
      </c>
      <c r="E62" s="12">
        <v>65.177000000000007</v>
      </c>
      <c r="F62" s="12">
        <v>93.272400000000005</v>
      </c>
      <c r="G62" s="12"/>
      <c r="H62" s="12"/>
      <c r="I62" s="12">
        <v>3.7130000000000001</v>
      </c>
      <c r="J62" s="12">
        <v>3535600</v>
      </c>
      <c r="K62" s="12">
        <v>0.198658</v>
      </c>
      <c r="L62" s="12">
        <v>2038630</v>
      </c>
      <c r="M62" s="12"/>
      <c r="N62" s="12"/>
      <c r="O62" s="12">
        <v>51.831600000000002</v>
      </c>
      <c r="P62" s="12"/>
      <c r="Q62" s="12">
        <v>7.4259300000000001</v>
      </c>
      <c r="R62" s="12">
        <v>43.911000000000001</v>
      </c>
      <c r="S62" s="12"/>
      <c r="T62" s="12">
        <v>47.393799999999999</v>
      </c>
      <c r="U62" s="12"/>
      <c r="V62" s="12"/>
      <c r="W62" s="12"/>
      <c r="X62" s="12">
        <v>56.088999999999999</v>
      </c>
      <c r="Y62" s="12">
        <v>38.137</v>
      </c>
      <c r="Z62" s="11">
        <f t="shared" si="0"/>
        <v>12</v>
      </c>
    </row>
    <row r="63" spans="1:26" x14ac:dyDescent="0.2">
      <c r="A63" s="2">
        <v>62</v>
      </c>
      <c r="B63" s="10" t="s">
        <v>275</v>
      </c>
      <c r="C63" s="11" t="s">
        <v>61</v>
      </c>
      <c r="D63" s="13" t="s">
        <v>436</v>
      </c>
      <c r="E63" s="12">
        <v>5.0259999999999998</v>
      </c>
      <c r="F63" s="12">
        <v>99.99</v>
      </c>
      <c r="G63" s="12">
        <v>2.8532799999999998</v>
      </c>
      <c r="H63" s="14">
        <v>2085450000</v>
      </c>
      <c r="I63" s="12">
        <v>1.31</v>
      </c>
      <c r="J63" s="12">
        <v>1371990</v>
      </c>
      <c r="K63" s="12">
        <v>5.3384</v>
      </c>
      <c r="L63" s="12">
        <v>865244</v>
      </c>
      <c r="M63" s="12">
        <v>3.0532499999999998</v>
      </c>
      <c r="N63" s="12">
        <v>39.979999999999997</v>
      </c>
      <c r="O63" s="12">
        <v>93.932299999999998</v>
      </c>
      <c r="P63" s="12">
        <v>77.13</v>
      </c>
      <c r="Q63" s="12">
        <v>0</v>
      </c>
      <c r="R63" s="12">
        <v>70.019000000000005</v>
      </c>
      <c r="S63" s="12">
        <v>91.021299999999997</v>
      </c>
      <c r="T63" s="12">
        <v>151.97999999999999</v>
      </c>
      <c r="U63" s="12">
        <v>4.8499999999999996</v>
      </c>
      <c r="V63" s="12"/>
      <c r="W63" s="12"/>
      <c r="X63" s="12">
        <v>29.981000000000002</v>
      </c>
      <c r="Y63" s="12">
        <v>15.637600000000001</v>
      </c>
      <c r="Z63" s="11">
        <f t="shared" si="0"/>
        <v>19</v>
      </c>
    </row>
    <row r="64" spans="1:26" x14ac:dyDescent="0.2">
      <c r="A64" s="2">
        <v>63</v>
      </c>
      <c r="B64" s="10" t="s">
        <v>376</v>
      </c>
      <c r="C64" s="11" t="s">
        <v>176</v>
      </c>
      <c r="D64" s="13" t="s">
        <v>432</v>
      </c>
      <c r="E64" s="12">
        <v>68.725999999999999</v>
      </c>
      <c r="F64" s="12">
        <v>95.89</v>
      </c>
      <c r="G64" s="12"/>
      <c r="H64" s="12">
        <v>3576840</v>
      </c>
      <c r="I64" s="12">
        <v>2.7530000000000001</v>
      </c>
      <c r="J64" s="12">
        <v>1242820</v>
      </c>
      <c r="K64" s="12">
        <v>0.97208799999999995</v>
      </c>
      <c r="L64" s="12">
        <v>775344</v>
      </c>
      <c r="M64" s="12">
        <v>2.1587100000000001</v>
      </c>
      <c r="N64" s="12">
        <v>10.78</v>
      </c>
      <c r="O64" s="12">
        <v>82.593900000000005</v>
      </c>
      <c r="P64" s="12">
        <v>48.87</v>
      </c>
      <c r="Q64" s="12">
        <v>0</v>
      </c>
      <c r="R64" s="12">
        <v>25.013000000000002</v>
      </c>
      <c r="S64" s="12"/>
      <c r="T64" s="12">
        <v>100.093</v>
      </c>
      <c r="U64" s="12">
        <v>3.35</v>
      </c>
      <c r="V64" s="12">
        <v>36.291400000000003</v>
      </c>
      <c r="W64" s="12"/>
      <c r="X64" s="12">
        <v>74.986999999999995</v>
      </c>
      <c r="Y64" s="12">
        <v>33.3523</v>
      </c>
      <c r="Z64" s="11">
        <f t="shared" si="0"/>
        <v>18</v>
      </c>
    </row>
    <row r="65" spans="1:26" x14ac:dyDescent="0.2">
      <c r="A65" s="2">
        <v>64</v>
      </c>
      <c r="B65" s="10" t="s">
        <v>276</v>
      </c>
      <c r="C65" s="11" t="s">
        <v>62</v>
      </c>
      <c r="D65" s="11" t="s">
        <v>440</v>
      </c>
      <c r="E65" s="12">
        <v>69.864999999999995</v>
      </c>
      <c r="F65" s="12">
        <v>72.754800000000003</v>
      </c>
      <c r="G65" s="12"/>
      <c r="H65" s="12">
        <v>9855260</v>
      </c>
      <c r="I65" s="12">
        <v>3.9889999999999999</v>
      </c>
      <c r="J65" s="12">
        <v>132060000</v>
      </c>
      <c r="K65" s="12">
        <v>0.15443200000000001</v>
      </c>
      <c r="L65" s="12">
        <v>76211800</v>
      </c>
      <c r="M65" s="12">
        <v>1.8783099999999999</v>
      </c>
      <c r="N65" s="12">
        <v>195.15</v>
      </c>
      <c r="O65" s="12">
        <v>85.1982</v>
      </c>
      <c r="P65" s="12">
        <v>64.58</v>
      </c>
      <c r="Q65" s="12">
        <v>33.145499999999998</v>
      </c>
      <c r="R65" s="12">
        <v>23.661000000000001</v>
      </c>
      <c r="S65" s="12"/>
      <c r="T65" s="12">
        <v>17.314800000000002</v>
      </c>
      <c r="U65" s="12">
        <v>3.78</v>
      </c>
      <c r="V65" s="12">
        <v>25.6267</v>
      </c>
      <c r="W65" s="12">
        <v>11.6883</v>
      </c>
      <c r="X65" s="12">
        <v>76.338999999999999</v>
      </c>
      <c r="Y65" s="12">
        <v>39.059899999999999</v>
      </c>
      <c r="Z65" s="11">
        <f t="shared" si="0"/>
        <v>19</v>
      </c>
    </row>
    <row r="66" spans="1:26" x14ac:dyDescent="0.2">
      <c r="A66" s="2">
        <v>65</v>
      </c>
      <c r="B66" s="10" t="s">
        <v>415</v>
      </c>
      <c r="C66" s="11" t="s">
        <v>66</v>
      </c>
      <c r="D66" s="11" t="s">
        <v>431</v>
      </c>
      <c r="E66" s="12">
        <v>4.6719999999999997</v>
      </c>
      <c r="F66" s="12"/>
      <c r="G66" s="12"/>
      <c r="H66" s="12">
        <v>358803</v>
      </c>
      <c r="I66" s="12">
        <v>1.8586</v>
      </c>
      <c r="J66" s="12">
        <v>54719</v>
      </c>
      <c r="K66" s="12"/>
      <c r="L66" s="12">
        <v>34088</v>
      </c>
      <c r="M66" s="12"/>
      <c r="N66" s="12"/>
      <c r="O66" s="12"/>
      <c r="P66" s="12"/>
      <c r="Q66" s="12">
        <v>0</v>
      </c>
      <c r="R66" s="12">
        <v>43.206000000000003</v>
      </c>
      <c r="S66" s="12"/>
      <c r="T66" s="12">
        <v>114.33799999999999</v>
      </c>
      <c r="U66" s="12"/>
      <c r="V66" s="12"/>
      <c r="W66" s="12"/>
      <c r="X66" s="12">
        <v>56.793999999999997</v>
      </c>
      <c r="Y66" s="12">
        <v>19.965900000000001</v>
      </c>
      <c r="Z66" s="11">
        <f t="shared" ref="Z66:Z129" si="1">COUNT(E66:Y66)</f>
        <v>10</v>
      </c>
    </row>
    <row r="67" spans="1:26" x14ac:dyDescent="0.2">
      <c r="A67" s="2">
        <v>66</v>
      </c>
      <c r="B67" s="10" t="s">
        <v>278</v>
      </c>
      <c r="C67" s="11" t="s">
        <v>64</v>
      </c>
      <c r="D67" s="13" t="s">
        <v>438</v>
      </c>
      <c r="E67" s="12">
        <v>21.169</v>
      </c>
      <c r="F67" s="12">
        <v>97.58</v>
      </c>
      <c r="G67" s="12"/>
      <c r="H67" s="12">
        <v>1594710</v>
      </c>
      <c r="I67" s="12">
        <v>2.2810000000000001</v>
      </c>
      <c r="J67" s="12">
        <v>928784</v>
      </c>
      <c r="K67" s="12">
        <v>1.1171</v>
      </c>
      <c r="L67" s="12">
        <v>616896</v>
      </c>
      <c r="M67" s="12">
        <v>3.8942199999999998</v>
      </c>
      <c r="N67" s="12"/>
      <c r="O67" s="12">
        <v>99.443100000000001</v>
      </c>
      <c r="P67" s="12"/>
      <c r="Q67" s="12">
        <v>0</v>
      </c>
      <c r="R67" s="12">
        <v>59.192</v>
      </c>
      <c r="S67" s="12"/>
      <c r="T67" s="12">
        <v>126.179</v>
      </c>
      <c r="U67" s="12"/>
      <c r="V67" s="12"/>
      <c r="W67" s="12"/>
      <c r="X67" s="12">
        <v>40.808</v>
      </c>
      <c r="Y67" s="12">
        <v>27.093299999999999</v>
      </c>
      <c r="Z67" s="11">
        <f t="shared" si="1"/>
        <v>14</v>
      </c>
    </row>
    <row r="68" spans="1:26" x14ac:dyDescent="0.2">
      <c r="A68" s="2">
        <v>67</v>
      </c>
      <c r="B68" s="10" t="s">
        <v>277</v>
      </c>
      <c r="C68" s="11" t="s">
        <v>63</v>
      </c>
      <c r="D68" s="11" t="s">
        <v>431</v>
      </c>
      <c r="E68" s="12">
        <v>3.0950000000000002</v>
      </c>
      <c r="F68" s="12"/>
      <c r="G68" s="12">
        <v>17.374700000000001</v>
      </c>
      <c r="H68" s="12">
        <v>5292500000</v>
      </c>
      <c r="I68" s="12">
        <v>1.26</v>
      </c>
      <c r="J68" s="12">
        <v>5637210</v>
      </c>
      <c r="K68" s="12">
        <v>6.5701499999999999</v>
      </c>
      <c r="L68" s="12">
        <v>3465170</v>
      </c>
      <c r="M68" s="12">
        <v>1.99868</v>
      </c>
      <c r="N68" s="12">
        <v>227.98</v>
      </c>
      <c r="O68" s="12">
        <v>98.689700000000002</v>
      </c>
      <c r="P68" s="12">
        <v>81.39</v>
      </c>
      <c r="Q68" s="12">
        <v>80.962999999999994</v>
      </c>
      <c r="R68" s="12">
        <v>85.872</v>
      </c>
      <c r="S68" s="12">
        <v>92.988799999999998</v>
      </c>
      <c r="T68" s="12">
        <v>82.457599999999999</v>
      </c>
      <c r="U68" s="12">
        <v>5.49</v>
      </c>
      <c r="V68" s="12"/>
      <c r="W68" s="12"/>
      <c r="X68" s="12">
        <v>14.128</v>
      </c>
      <c r="Y68" s="12">
        <v>14.6332</v>
      </c>
      <c r="Z68" s="11">
        <f t="shared" si="1"/>
        <v>18</v>
      </c>
    </row>
    <row r="69" spans="1:26" x14ac:dyDescent="0.2">
      <c r="A69" s="2">
        <v>68</v>
      </c>
      <c r="B69" s="10" t="s">
        <v>279</v>
      </c>
      <c r="C69" s="11" t="s">
        <v>65</v>
      </c>
      <c r="D69" s="11" t="s">
        <v>431</v>
      </c>
      <c r="E69" s="12">
        <v>3.5070000000000001</v>
      </c>
      <c r="F69" s="12"/>
      <c r="G69" s="12">
        <v>54.543199999999999</v>
      </c>
      <c r="H69" s="12">
        <v>115256000000</v>
      </c>
      <c r="I69" s="12">
        <v>1.66</v>
      </c>
      <c r="J69" s="12">
        <v>68516700</v>
      </c>
      <c r="K69" s="12">
        <v>3.9536799999999999</v>
      </c>
      <c r="L69" s="12">
        <v>42033800</v>
      </c>
      <c r="M69" s="12">
        <v>3.92679</v>
      </c>
      <c r="N69" s="12">
        <v>2633.62</v>
      </c>
      <c r="O69" s="12">
        <v>99.468000000000004</v>
      </c>
      <c r="P69" s="12">
        <v>82.67</v>
      </c>
      <c r="Q69" s="12">
        <v>88.074100000000001</v>
      </c>
      <c r="R69" s="12">
        <v>82.043999999999997</v>
      </c>
      <c r="S69" s="12">
        <v>85.333299999999994</v>
      </c>
      <c r="T69" s="12">
        <v>67.222999999999999</v>
      </c>
      <c r="U69" s="12">
        <v>5.18</v>
      </c>
      <c r="V69" s="12"/>
      <c r="W69" s="12"/>
      <c r="X69" s="12">
        <v>17.956</v>
      </c>
      <c r="Y69" s="12">
        <v>16.505099999999999</v>
      </c>
      <c r="Z69" s="11">
        <f t="shared" si="1"/>
        <v>18</v>
      </c>
    </row>
    <row r="70" spans="1:26" x14ac:dyDescent="0.2">
      <c r="A70" s="2">
        <v>69</v>
      </c>
      <c r="B70" s="10" t="s">
        <v>358</v>
      </c>
      <c r="C70" s="11" t="s">
        <v>156</v>
      </c>
      <c r="D70" s="13" t="s">
        <v>438</v>
      </c>
      <c r="E70" s="12">
        <v>24.344000000000001</v>
      </c>
      <c r="F70" s="12"/>
      <c r="G70" s="12"/>
      <c r="H70" s="12">
        <v>1514720</v>
      </c>
      <c r="I70" s="12">
        <v>1.5009999999999999</v>
      </c>
      <c r="J70" s="12">
        <v>281807</v>
      </c>
      <c r="K70" s="12"/>
      <c r="L70" s="12">
        <v>196066</v>
      </c>
      <c r="M70" s="12">
        <v>12.074</v>
      </c>
      <c r="N70" s="12"/>
      <c r="O70" s="12">
        <v>99.3857</v>
      </c>
      <c r="P70" s="12"/>
      <c r="Q70" s="12">
        <v>0</v>
      </c>
      <c r="R70" s="12">
        <v>62.42</v>
      </c>
      <c r="S70" s="12"/>
      <c r="T70" s="12">
        <v>68.708100000000002</v>
      </c>
      <c r="U70" s="12"/>
      <c r="V70" s="12"/>
      <c r="W70" s="12"/>
      <c r="X70" s="12">
        <v>37.58</v>
      </c>
      <c r="Y70" s="12">
        <v>19.101400000000002</v>
      </c>
      <c r="Z70" s="11">
        <f t="shared" si="1"/>
        <v>12</v>
      </c>
    </row>
    <row r="71" spans="1:26" x14ac:dyDescent="0.2">
      <c r="A71" s="2">
        <v>70</v>
      </c>
      <c r="B71" s="10" t="s">
        <v>280</v>
      </c>
      <c r="C71" s="11" t="s">
        <v>68</v>
      </c>
      <c r="D71" s="11" t="s">
        <v>432</v>
      </c>
      <c r="E71" s="12">
        <v>91.706999999999994</v>
      </c>
      <c r="F71" s="12">
        <v>90.64</v>
      </c>
      <c r="G71" s="12"/>
      <c r="H71" s="12">
        <v>40041000</v>
      </c>
      <c r="I71" s="12">
        <v>3.6469999999999998</v>
      </c>
      <c r="J71" s="12">
        <v>2538950</v>
      </c>
      <c r="K71" s="12">
        <v>2.3332700000000002</v>
      </c>
      <c r="L71" s="12">
        <v>1508970</v>
      </c>
      <c r="M71" s="12">
        <v>6.8524900000000004</v>
      </c>
      <c r="N71" s="12">
        <v>33.75</v>
      </c>
      <c r="O71" s="12">
        <v>90.908699999999996</v>
      </c>
      <c r="P71" s="12">
        <v>64.38</v>
      </c>
      <c r="Q71" s="12">
        <v>0</v>
      </c>
      <c r="R71" s="12">
        <v>91.307000000000002</v>
      </c>
      <c r="S71" s="12"/>
      <c r="T71" s="12">
        <v>94.4803</v>
      </c>
      <c r="U71" s="12">
        <v>3.79</v>
      </c>
      <c r="V71" s="12">
        <v>44.619700000000002</v>
      </c>
      <c r="W71" s="12"/>
      <c r="X71" s="12">
        <v>8.6929999999999996</v>
      </c>
      <c r="Y71" s="12">
        <v>36.484499999999997</v>
      </c>
      <c r="Z71" s="11">
        <f t="shared" si="1"/>
        <v>18</v>
      </c>
    </row>
    <row r="72" spans="1:26" x14ac:dyDescent="0.2">
      <c r="A72" s="2">
        <v>71</v>
      </c>
      <c r="B72" s="10" t="s">
        <v>417</v>
      </c>
      <c r="C72" s="11" t="s">
        <v>74</v>
      </c>
      <c r="D72" s="11" t="s">
        <v>434</v>
      </c>
      <c r="E72" s="12">
        <v>58.094000000000001</v>
      </c>
      <c r="F72" s="12">
        <v>74.7</v>
      </c>
      <c r="G72" s="12"/>
      <c r="H72" s="12">
        <v>14930</v>
      </c>
      <c r="I72" s="12">
        <v>4.0060000000000002</v>
      </c>
      <c r="J72" s="12">
        <v>2759990</v>
      </c>
      <c r="K72" s="12">
        <v>0.23752999999999999</v>
      </c>
      <c r="L72" s="12">
        <v>1564190</v>
      </c>
      <c r="M72" s="12">
        <v>0.75255499999999997</v>
      </c>
      <c r="N72" s="12">
        <v>5.38</v>
      </c>
      <c r="O72" s="12">
        <v>81.808499999999995</v>
      </c>
      <c r="P72" s="12">
        <v>60.47</v>
      </c>
      <c r="Q72" s="12">
        <v>0</v>
      </c>
      <c r="R72" s="12">
        <v>65.08</v>
      </c>
      <c r="S72" s="12"/>
      <c r="T72" s="12">
        <v>43.738799999999998</v>
      </c>
      <c r="U72" s="12">
        <v>3.61</v>
      </c>
      <c r="V72" s="12">
        <v>36.000399999999999</v>
      </c>
      <c r="W72" s="12"/>
      <c r="X72" s="12">
        <v>34.92</v>
      </c>
      <c r="Y72" s="12">
        <v>40.247999999999998</v>
      </c>
      <c r="Z72" s="11">
        <f t="shared" si="1"/>
        <v>18</v>
      </c>
    </row>
    <row r="73" spans="1:26" x14ac:dyDescent="0.2">
      <c r="A73" s="2">
        <v>72</v>
      </c>
      <c r="B73" s="10" t="s">
        <v>281</v>
      </c>
      <c r="C73" s="11" t="s">
        <v>70</v>
      </c>
      <c r="D73" s="11" t="s">
        <v>436</v>
      </c>
      <c r="E73" s="12">
        <v>21.137</v>
      </c>
      <c r="F73" s="12">
        <v>99.693899999999999</v>
      </c>
      <c r="G73" s="12">
        <v>13.767099999999999</v>
      </c>
      <c r="H73" s="14">
        <v>38187400</v>
      </c>
      <c r="I73" s="12">
        <v>1.81</v>
      </c>
      <c r="J73" s="12">
        <v>3673850</v>
      </c>
      <c r="K73" s="12">
        <v>2.7547100000000002</v>
      </c>
      <c r="L73" s="12">
        <v>2335230</v>
      </c>
      <c r="M73" s="12">
        <v>3.25623</v>
      </c>
      <c r="N73" s="12">
        <v>37.880000000000003</v>
      </c>
      <c r="O73" s="12">
        <v>99.213800000000006</v>
      </c>
      <c r="P73" s="12">
        <v>74.819999999999993</v>
      </c>
      <c r="Q73" s="12">
        <v>47.2804</v>
      </c>
      <c r="R73" s="12">
        <v>61.161999999999999</v>
      </c>
      <c r="S73" s="12">
        <v>78.711299999999994</v>
      </c>
      <c r="T73" s="12">
        <v>104.33499999999999</v>
      </c>
      <c r="U73" s="12">
        <v>4.28</v>
      </c>
      <c r="V73" s="12"/>
      <c r="W73" s="12"/>
      <c r="X73" s="12">
        <v>38.838000000000001</v>
      </c>
      <c r="Y73" s="12">
        <v>20.7988</v>
      </c>
      <c r="Z73" s="11">
        <f t="shared" si="1"/>
        <v>19</v>
      </c>
    </row>
    <row r="74" spans="1:26" x14ac:dyDescent="0.2">
      <c r="A74" s="2">
        <v>73</v>
      </c>
      <c r="B74" s="10" t="s">
        <v>266</v>
      </c>
      <c r="C74" s="11" t="s">
        <v>51</v>
      </c>
      <c r="D74" s="11" t="s">
        <v>431</v>
      </c>
      <c r="E74" s="12">
        <v>5.4729999999999999</v>
      </c>
      <c r="F74" s="12"/>
      <c r="G74" s="12">
        <v>35.454799999999999</v>
      </c>
      <c r="H74" s="12">
        <v>255687000000</v>
      </c>
      <c r="I74" s="12">
        <v>1.39</v>
      </c>
      <c r="J74" s="12">
        <v>83511000</v>
      </c>
      <c r="K74" s="12">
        <v>7.2552199999999996</v>
      </c>
      <c r="L74" s="12">
        <v>52523600</v>
      </c>
      <c r="M74" s="12">
        <v>6.9433699999999998</v>
      </c>
      <c r="N74" s="12">
        <v>3872.37</v>
      </c>
      <c r="O74" s="12">
        <v>90.354200000000006</v>
      </c>
      <c r="P74" s="12">
        <v>81.09</v>
      </c>
      <c r="Q74" s="12">
        <v>85.941800000000001</v>
      </c>
      <c r="R74" s="12">
        <v>77.894999999999996</v>
      </c>
      <c r="S74" s="12">
        <v>91.629800000000003</v>
      </c>
      <c r="T74" s="12">
        <v>80.344700000000003</v>
      </c>
      <c r="U74" s="12">
        <v>5.65</v>
      </c>
      <c r="V74" s="12"/>
      <c r="W74" s="12"/>
      <c r="X74" s="12">
        <v>22.105</v>
      </c>
      <c r="Y74" s="12">
        <v>13.9102</v>
      </c>
      <c r="Z74" s="11">
        <f t="shared" si="1"/>
        <v>18</v>
      </c>
    </row>
    <row r="75" spans="1:26" x14ac:dyDescent="0.2">
      <c r="A75" s="2">
        <v>74</v>
      </c>
      <c r="B75" s="10" t="s">
        <v>282</v>
      </c>
      <c r="C75" s="11" t="s">
        <v>71</v>
      </c>
      <c r="D75" s="11" t="s">
        <v>434</v>
      </c>
      <c r="E75" s="12">
        <v>58.238</v>
      </c>
      <c r="F75" s="12">
        <v>93.48</v>
      </c>
      <c r="G75" s="12">
        <v>3.06338</v>
      </c>
      <c r="H75" s="12">
        <v>20813100</v>
      </c>
      <c r="I75" s="12">
        <v>3.3969999999999998</v>
      </c>
      <c r="J75" s="12">
        <v>34427400</v>
      </c>
      <c r="K75" s="12">
        <v>0.60288699999999995</v>
      </c>
      <c r="L75" s="12">
        <v>20819500</v>
      </c>
      <c r="M75" s="12">
        <v>3.8540899999999998</v>
      </c>
      <c r="N75" s="12">
        <v>169.5</v>
      </c>
      <c r="O75" s="12">
        <v>86.699799999999996</v>
      </c>
      <c r="P75" s="12">
        <v>61.49</v>
      </c>
      <c r="Q75" s="12">
        <v>30.963000000000001</v>
      </c>
      <c r="R75" s="12">
        <v>59.853999999999999</v>
      </c>
      <c r="S75" s="12">
        <v>68.2</v>
      </c>
      <c r="T75" s="12">
        <v>69.352599999999995</v>
      </c>
      <c r="U75" s="12">
        <v>3.72</v>
      </c>
      <c r="V75" s="12">
        <v>36.244700000000002</v>
      </c>
      <c r="W75" s="12"/>
      <c r="X75" s="12">
        <v>40.146000000000001</v>
      </c>
      <c r="Y75" s="12">
        <v>35.818100000000001</v>
      </c>
      <c r="Z75" s="11">
        <f t="shared" si="1"/>
        <v>20</v>
      </c>
    </row>
    <row r="76" spans="1:26" x14ac:dyDescent="0.2">
      <c r="A76" s="2">
        <v>75</v>
      </c>
      <c r="B76" s="10" t="s">
        <v>283</v>
      </c>
      <c r="C76" s="11" t="s">
        <v>72</v>
      </c>
      <c r="D76" s="13" t="s">
        <v>435</v>
      </c>
      <c r="E76" s="12">
        <v>8.8000000000000007</v>
      </c>
      <c r="F76" s="12"/>
      <c r="G76" s="12"/>
      <c r="H76" s="12"/>
      <c r="I76" s="12">
        <v>1.8879999999999999</v>
      </c>
      <c r="J76" s="12">
        <v>39329</v>
      </c>
      <c r="K76" s="12"/>
      <c r="L76" s="12">
        <v>25461</v>
      </c>
      <c r="M76" s="12"/>
      <c r="N76" s="12"/>
      <c r="O76" s="12">
        <v>99.701899999999995</v>
      </c>
      <c r="P76" s="12"/>
      <c r="Q76" s="12">
        <v>0</v>
      </c>
      <c r="R76" s="12">
        <v>100</v>
      </c>
      <c r="S76" s="12"/>
      <c r="T76" s="12"/>
      <c r="U76" s="12"/>
      <c r="V76" s="12"/>
      <c r="W76" s="12"/>
      <c r="X76" s="12">
        <v>0</v>
      </c>
      <c r="Y76" s="12">
        <v>17.647300000000001</v>
      </c>
      <c r="Z76" s="11">
        <f t="shared" si="1"/>
        <v>9</v>
      </c>
    </row>
    <row r="77" spans="1:26" x14ac:dyDescent="0.2">
      <c r="A77" s="2">
        <v>76</v>
      </c>
      <c r="B77" s="10" t="s">
        <v>287</v>
      </c>
      <c r="C77" s="11" t="s">
        <v>77</v>
      </c>
      <c r="D77" s="13" t="s">
        <v>435</v>
      </c>
      <c r="E77" s="12">
        <v>7.0439999999999996</v>
      </c>
      <c r="F77" s="12">
        <v>99.491100000000003</v>
      </c>
      <c r="G77" s="12">
        <v>23.1204</v>
      </c>
      <c r="H77" s="12">
        <v>2973520000</v>
      </c>
      <c r="I77" s="12">
        <v>1.32</v>
      </c>
      <c r="J77" s="12">
        <v>10388800</v>
      </c>
      <c r="K77" s="12">
        <v>4.7671799999999998</v>
      </c>
      <c r="L77" s="12">
        <v>6528410</v>
      </c>
      <c r="M77" s="12">
        <v>2.0903499999999999</v>
      </c>
      <c r="N77" s="12">
        <v>277.93</v>
      </c>
      <c r="O77" s="12">
        <v>98.220399999999998</v>
      </c>
      <c r="P77" s="12">
        <v>81.59</v>
      </c>
      <c r="Q77" s="12">
        <v>76.666700000000006</v>
      </c>
      <c r="R77" s="12">
        <v>80.983999999999995</v>
      </c>
      <c r="S77" s="12">
        <v>83.170699999999997</v>
      </c>
      <c r="T77" s="12">
        <v>89.316599999999994</v>
      </c>
      <c r="U77" s="12">
        <v>4.0199999999999996</v>
      </c>
      <c r="V77" s="12">
        <v>24.2715</v>
      </c>
      <c r="W77" s="12">
        <v>14.1424</v>
      </c>
      <c r="X77" s="12">
        <v>19.015999999999998</v>
      </c>
      <c r="Y77" s="12">
        <v>13.2194</v>
      </c>
      <c r="Z77" s="11">
        <f t="shared" si="1"/>
        <v>21</v>
      </c>
    </row>
    <row r="78" spans="1:26" x14ac:dyDescent="0.2">
      <c r="A78" s="2">
        <v>77</v>
      </c>
      <c r="B78" s="10" t="s">
        <v>289</v>
      </c>
      <c r="C78" s="11" t="s">
        <v>79</v>
      </c>
      <c r="D78" s="11" t="s">
        <v>431</v>
      </c>
      <c r="E78" s="12">
        <v>36.100999999999999</v>
      </c>
      <c r="F78" s="12"/>
      <c r="G78" s="12"/>
      <c r="H78" s="12">
        <v>487974</v>
      </c>
      <c r="I78" s="12">
        <v>1.7689999999999999</v>
      </c>
      <c r="J78" s="12">
        <v>56836</v>
      </c>
      <c r="K78" s="12"/>
      <c r="L78" s="12">
        <v>38869</v>
      </c>
      <c r="M78" s="12"/>
      <c r="N78" s="12"/>
      <c r="O78" s="12"/>
      <c r="P78" s="12"/>
      <c r="Q78" s="12">
        <v>0</v>
      </c>
      <c r="R78" s="12">
        <v>88.149000000000001</v>
      </c>
      <c r="S78" s="12"/>
      <c r="T78" s="12">
        <v>91.890100000000004</v>
      </c>
      <c r="U78" s="12"/>
      <c r="V78" s="12"/>
      <c r="W78" s="12"/>
      <c r="X78" s="12">
        <v>11.851000000000001</v>
      </c>
      <c r="Y78" s="12">
        <v>20.8034</v>
      </c>
      <c r="Z78" s="11">
        <f t="shared" si="1"/>
        <v>10</v>
      </c>
    </row>
    <row r="79" spans="1:26" x14ac:dyDescent="0.2">
      <c r="A79" s="2">
        <v>78</v>
      </c>
      <c r="B79" s="10" t="s">
        <v>288</v>
      </c>
      <c r="C79" s="11" t="s">
        <v>78</v>
      </c>
      <c r="D79" s="11" t="s">
        <v>519</v>
      </c>
      <c r="E79" s="12">
        <v>29.088000000000001</v>
      </c>
      <c r="F79" s="12">
        <v>99.2</v>
      </c>
      <c r="G79" s="12"/>
      <c r="H79" s="12">
        <v>420417</v>
      </c>
      <c r="I79" s="12">
        <v>1.4870000000000001</v>
      </c>
      <c r="J79" s="12">
        <v>117207</v>
      </c>
      <c r="K79" s="12">
        <v>2.6240700000000001</v>
      </c>
      <c r="L79" s="12">
        <v>80075</v>
      </c>
      <c r="M79" s="12">
        <v>2.2029299999999998</v>
      </c>
      <c r="N79" s="12"/>
      <c r="O79" s="12">
        <v>99.235600000000005</v>
      </c>
      <c r="P79" s="12"/>
      <c r="Q79" s="12">
        <v>0</v>
      </c>
      <c r="R79" s="12">
        <v>37.267000000000003</v>
      </c>
      <c r="S79" s="12"/>
      <c r="T79" s="12"/>
      <c r="U79" s="12"/>
      <c r="V79" s="12"/>
      <c r="W79" s="12"/>
      <c r="X79" s="12">
        <v>62.732999999999997</v>
      </c>
      <c r="Y79" s="12">
        <v>19.441199999999998</v>
      </c>
      <c r="Z79" s="11">
        <f t="shared" si="1"/>
        <v>13</v>
      </c>
    </row>
    <row r="80" spans="1:26" x14ac:dyDescent="0.2">
      <c r="A80" s="2">
        <v>79</v>
      </c>
      <c r="B80" s="10" t="s">
        <v>291</v>
      </c>
      <c r="C80" s="11" t="s">
        <v>81</v>
      </c>
      <c r="D80" s="13" t="s">
        <v>438</v>
      </c>
      <c r="E80" s="12">
        <v>33.39</v>
      </c>
      <c r="F80" s="12">
        <v>99.95</v>
      </c>
      <c r="G80" s="12"/>
      <c r="H80" s="12"/>
      <c r="I80" s="12">
        <v>2.7810000000000001</v>
      </c>
      <c r="J80" s="12">
        <v>167777</v>
      </c>
      <c r="K80" s="12"/>
      <c r="L80" s="12">
        <v>103040</v>
      </c>
      <c r="M80" s="12"/>
      <c r="N80" s="12"/>
      <c r="O80" s="12"/>
      <c r="P80" s="12"/>
      <c r="Q80" s="12">
        <v>0</v>
      </c>
      <c r="R80" s="12">
        <v>95.24</v>
      </c>
      <c r="S80" s="12"/>
      <c r="T80" s="12">
        <v>71.866900000000001</v>
      </c>
      <c r="U80" s="12"/>
      <c r="V80" s="12"/>
      <c r="W80" s="12"/>
      <c r="X80" s="12">
        <v>4.76</v>
      </c>
      <c r="Y80" s="12">
        <v>25.983000000000001</v>
      </c>
      <c r="Z80" s="11">
        <f t="shared" si="1"/>
        <v>10</v>
      </c>
    </row>
    <row r="81" spans="1:26" x14ac:dyDescent="0.2">
      <c r="A81" s="2">
        <v>80</v>
      </c>
      <c r="B81" s="10" t="s">
        <v>290</v>
      </c>
      <c r="C81" s="11" t="s">
        <v>80</v>
      </c>
      <c r="D81" s="11" t="s">
        <v>518</v>
      </c>
      <c r="E81" s="12">
        <v>68.269000000000005</v>
      </c>
      <c r="F81" s="12">
        <v>96.14</v>
      </c>
      <c r="G81" s="12">
        <v>5.4568599999999998</v>
      </c>
      <c r="H81" s="12">
        <v>376980000</v>
      </c>
      <c r="I81" s="12">
        <v>2.3109999999999999</v>
      </c>
      <c r="J81" s="12">
        <v>18406400</v>
      </c>
      <c r="K81" s="12">
        <v>1.00041</v>
      </c>
      <c r="L81" s="12">
        <v>11701600</v>
      </c>
      <c r="M81" s="12">
        <v>1.79582</v>
      </c>
      <c r="N81" s="12">
        <v>129.46</v>
      </c>
      <c r="O81" s="12">
        <v>89.213499999999996</v>
      </c>
      <c r="P81" s="12">
        <v>71.959999999999994</v>
      </c>
      <c r="Q81" s="12">
        <v>22.457699999999999</v>
      </c>
      <c r="R81" s="12">
        <v>53.542000000000002</v>
      </c>
      <c r="S81" s="12">
        <v>50.8416</v>
      </c>
      <c r="T81" s="12">
        <v>47.344200000000001</v>
      </c>
      <c r="U81" s="12">
        <v>4.08</v>
      </c>
      <c r="V81" s="12"/>
      <c r="W81" s="12">
        <v>5.1369899999999999</v>
      </c>
      <c r="X81" s="12">
        <v>46.457999999999998</v>
      </c>
      <c r="Y81" s="12">
        <v>31.577100000000002</v>
      </c>
      <c r="Z81" s="11">
        <f t="shared" si="1"/>
        <v>20</v>
      </c>
    </row>
    <row r="82" spans="1:26" x14ac:dyDescent="0.2">
      <c r="A82" s="2">
        <v>81</v>
      </c>
      <c r="B82" s="10" t="s">
        <v>284</v>
      </c>
      <c r="C82" s="11" t="s">
        <v>73</v>
      </c>
      <c r="D82" s="11" t="s">
        <v>434</v>
      </c>
      <c r="E82" s="12">
        <v>118.577</v>
      </c>
      <c r="F82" s="12">
        <v>60.33</v>
      </c>
      <c r="G82" s="12"/>
      <c r="H82" s="12">
        <v>799556</v>
      </c>
      <c r="I82" s="12">
        <v>4.2169999999999996</v>
      </c>
      <c r="J82" s="12">
        <v>14754800</v>
      </c>
      <c r="K82" s="12">
        <v>0.34364600000000001</v>
      </c>
      <c r="L82" s="12">
        <v>8210110</v>
      </c>
      <c r="M82" s="12">
        <v>17.028600000000001</v>
      </c>
      <c r="N82" s="12">
        <v>27.29</v>
      </c>
      <c r="O82" s="12">
        <v>78.087299999999999</v>
      </c>
      <c r="P82" s="12">
        <v>59.19</v>
      </c>
      <c r="Q82" s="12">
        <v>9.5634899999999998</v>
      </c>
      <c r="R82" s="12">
        <v>38.517000000000003</v>
      </c>
      <c r="S82" s="12"/>
      <c r="T82" s="12">
        <v>100.093</v>
      </c>
      <c r="U82" s="12">
        <v>3.47</v>
      </c>
      <c r="V82" s="12">
        <v>28.344899999999999</v>
      </c>
      <c r="W82" s="12"/>
      <c r="X82" s="12">
        <v>61.482999999999997</v>
      </c>
      <c r="Y82" s="12">
        <v>40.901200000000003</v>
      </c>
      <c r="Z82" s="11">
        <f t="shared" si="1"/>
        <v>18</v>
      </c>
    </row>
    <row r="83" spans="1:26" x14ac:dyDescent="0.2">
      <c r="A83" s="2">
        <v>82</v>
      </c>
      <c r="B83" s="10" t="s">
        <v>285</v>
      </c>
      <c r="C83" s="11" t="s">
        <v>75</v>
      </c>
      <c r="D83" s="11" t="s">
        <v>434</v>
      </c>
      <c r="E83" s="12">
        <v>81.980999999999995</v>
      </c>
      <c r="F83" s="12">
        <v>68.95</v>
      </c>
      <c r="G83" s="12"/>
      <c r="H83" s="12">
        <v>18</v>
      </c>
      <c r="I83" s="12">
        <v>3.8359999999999999</v>
      </c>
      <c r="J83" s="12">
        <v>2201350</v>
      </c>
      <c r="K83" s="12">
        <v>0.16320799999999999</v>
      </c>
      <c r="L83" s="12">
        <v>1277270</v>
      </c>
      <c r="M83" s="12">
        <v>17.702000000000002</v>
      </c>
      <c r="N83" s="12"/>
      <c r="O83" s="12">
        <v>72.668199999999999</v>
      </c>
      <c r="P83" s="12"/>
      <c r="Q83" s="12">
        <v>0</v>
      </c>
      <c r="R83" s="12">
        <v>45.893000000000001</v>
      </c>
      <c r="S83" s="12"/>
      <c r="T83" s="12">
        <v>40.661299999999997</v>
      </c>
      <c r="U83" s="12"/>
      <c r="V83" s="12"/>
      <c r="W83" s="12"/>
      <c r="X83" s="12">
        <v>54.106999999999999</v>
      </c>
      <c r="Y83" s="12">
        <v>38.785899999999998</v>
      </c>
      <c r="Z83" s="11">
        <f t="shared" si="1"/>
        <v>14</v>
      </c>
    </row>
    <row r="84" spans="1:26" x14ac:dyDescent="0.2">
      <c r="A84" s="2">
        <v>83</v>
      </c>
      <c r="B84" s="10" t="s">
        <v>292</v>
      </c>
      <c r="C84" s="11" t="s">
        <v>82</v>
      </c>
      <c r="D84" s="11" t="s">
        <v>519</v>
      </c>
      <c r="E84" s="12">
        <v>69.927000000000007</v>
      </c>
      <c r="F84" s="12">
        <v>97.9</v>
      </c>
      <c r="G84" s="12"/>
      <c r="H84" s="12">
        <v>9073400</v>
      </c>
      <c r="I84" s="12">
        <v>2.4119999999999999</v>
      </c>
      <c r="J84" s="12">
        <v>831087</v>
      </c>
      <c r="K84" s="12">
        <v>3.4727700000000001</v>
      </c>
      <c r="L84" s="12">
        <v>532764</v>
      </c>
      <c r="M84" s="12">
        <v>4.3016899999999998</v>
      </c>
      <c r="N84" s="12"/>
      <c r="O84" s="12">
        <v>97.281199999999998</v>
      </c>
      <c r="P84" s="12">
        <v>66.209999999999994</v>
      </c>
      <c r="Q84" s="12">
        <v>0</v>
      </c>
      <c r="R84" s="12">
        <v>27.315999999999999</v>
      </c>
      <c r="S84" s="12"/>
      <c r="T84" s="12">
        <v>194.351</v>
      </c>
      <c r="U84" s="12">
        <v>3.56</v>
      </c>
      <c r="V84" s="12"/>
      <c r="W84" s="12"/>
      <c r="X84" s="12">
        <v>72.683999999999997</v>
      </c>
      <c r="Y84" s="12">
        <v>29.160599999999999</v>
      </c>
      <c r="Z84" s="11">
        <f t="shared" si="1"/>
        <v>16</v>
      </c>
    </row>
    <row r="85" spans="1:26" x14ac:dyDescent="0.2">
      <c r="A85" s="2">
        <v>84</v>
      </c>
      <c r="B85" s="10" t="s">
        <v>296</v>
      </c>
      <c r="C85" s="11" t="s">
        <v>86</v>
      </c>
      <c r="D85" s="11" t="s">
        <v>518</v>
      </c>
      <c r="E85" s="12">
        <v>49.774999999999999</v>
      </c>
      <c r="F85" s="12">
        <v>82.994200000000006</v>
      </c>
      <c r="G85" s="12"/>
      <c r="H85" s="12"/>
      <c r="I85" s="12">
        <v>2.6560000000000001</v>
      </c>
      <c r="J85" s="12">
        <v>11772600</v>
      </c>
      <c r="K85" s="12">
        <v>0.28381499999999998</v>
      </c>
      <c r="L85" s="12">
        <v>7546930</v>
      </c>
      <c r="M85" s="12">
        <v>11.465199999999999</v>
      </c>
      <c r="N85" s="12">
        <v>18.420000000000002</v>
      </c>
      <c r="O85" s="12">
        <v>58.112299999999998</v>
      </c>
      <c r="P85" s="12">
        <v>63.07</v>
      </c>
      <c r="Q85" s="12">
        <v>5.6481500000000002</v>
      </c>
      <c r="R85" s="12">
        <v>60.472000000000001</v>
      </c>
      <c r="S85" s="12"/>
      <c r="T85" s="12">
        <v>22.247900000000001</v>
      </c>
      <c r="U85" s="12">
        <v>3.22</v>
      </c>
      <c r="V85" s="12">
        <v>39.047600000000003</v>
      </c>
      <c r="W85" s="12">
        <v>15.350899999999999</v>
      </c>
      <c r="X85" s="12">
        <v>39.527999999999999</v>
      </c>
      <c r="Y85" s="12">
        <v>31.188600000000001</v>
      </c>
      <c r="Z85" s="11">
        <f t="shared" si="1"/>
        <v>18</v>
      </c>
    </row>
    <row r="86" spans="1:26" x14ac:dyDescent="0.2">
      <c r="A86" s="2">
        <v>85</v>
      </c>
      <c r="B86" s="10" t="s">
        <v>294</v>
      </c>
      <c r="C86" s="11" t="s">
        <v>84</v>
      </c>
      <c r="D86" s="11" t="s">
        <v>519</v>
      </c>
      <c r="E86" s="12">
        <v>82.078999999999994</v>
      </c>
      <c r="F86" s="12">
        <v>96.08</v>
      </c>
      <c r="G86" s="12">
        <v>3.0404800000000001</v>
      </c>
      <c r="H86" s="12">
        <v>86433400</v>
      </c>
      <c r="I86" s="12">
        <v>2.5</v>
      </c>
      <c r="J86" s="12">
        <v>10825700</v>
      </c>
      <c r="K86" s="12">
        <v>0.87291099999999999</v>
      </c>
      <c r="L86" s="12">
        <v>7032490</v>
      </c>
      <c r="M86" s="12">
        <v>2.3139099999999999</v>
      </c>
      <c r="N86" s="12">
        <v>43.7</v>
      </c>
      <c r="O86" s="12">
        <v>80.470600000000005</v>
      </c>
      <c r="P86" s="12">
        <v>73.33</v>
      </c>
      <c r="Q86" s="12">
        <v>22.756599999999999</v>
      </c>
      <c r="R86" s="12">
        <v>60.817999999999998</v>
      </c>
      <c r="S86" s="12">
        <v>48.083500000000001</v>
      </c>
      <c r="T86" s="12">
        <v>91.110200000000006</v>
      </c>
      <c r="U86" s="12">
        <v>3.92</v>
      </c>
      <c r="V86" s="12"/>
      <c r="W86" s="12">
        <v>5.14412</v>
      </c>
      <c r="X86" s="12">
        <v>39.182000000000002</v>
      </c>
      <c r="Y86" s="12">
        <v>30.621200000000002</v>
      </c>
      <c r="Z86" s="11">
        <f t="shared" si="1"/>
        <v>20</v>
      </c>
    </row>
    <row r="87" spans="1:26" x14ac:dyDescent="0.2">
      <c r="A87" s="2">
        <v>86</v>
      </c>
      <c r="B87" s="10" t="s">
        <v>293</v>
      </c>
      <c r="C87" s="11" t="s">
        <v>83</v>
      </c>
      <c r="D87" s="11" t="s">
        <v>437</v>
      </c>
      <c r="E87" s="12">
        <v>1.1200000000000001</v>
      </c>
      <c r="F87" s="12"/>
      <c r="G87" s="12"/>
      <c r="H87" s="12">
        <v>369164000000</v>
      </c>
      <c r="I87" s="12">
        <v>0.751</v>
      </c>
      <c r="J87" s="12">
        <v>7524100</v>
      </c>
      <c r="K87" s="12"/>
      <c r="L87" s="12">
        <v>5027980</v>
      </c>
      <c r="M87" s="12">
        <v>3.8850699999999998</v>
      </c>
      <c r="N87" s="12">
        <v>427.14</v>
      </c>
      <c r="O87" s="12">
        <v>96.265699999999995</v>
      </c>
      <c r="P87" s="12">
        <v>84.28</v>
      </c>
      <c r="Q87" s="12">
        <v>0</v>
      </c>
      <c r="R87" s="12">
        <v>100</v>
      </c>
      <c r="S87" s="12"/>
      <c r="T87" s="12">
        <v>359.40199999999999</v>
      </c>
      <c r="U87" s="12">
        <v>5.53</v>
      </c>
      <c r="V87" s="12"/>
      <c r="W87" s="12">
        <v>6.0054499999999997</v>
      </c>
      <c r="X87" s="12">
        <v>0</v>
      </c>
      <c r="Y87" s="12">
        <v>10.5078</v>
      </c>
      <c r="Z87" s="11">
        <f t="shared" si="1"/>
        <v>16</v>
      </c>
    </row>
    <row r="88" spans="1:26" x14ac:dyDescent="0.2">
      <c r="A88" s="2">
        <v>87</v>
      </c>
      <c r="B88" s="10" t="s">
        <v>297</v>
      </c>
      <c r="C88" s="11" t="s">
        <v>87</v>
      </c>
      <c r="D88" s="11" t="s">
        <v>436</v>
      </c>
      <c r="E88" s="12">
        <v>17.536999999999999</v>
      </c>
      <c r="F88" s="12">
        <v>98.7</v>
      </c>
      <c r="G88" s="12">
        <v>4.52834</v>
      </c>
      <c r="H88" s="14">
        <v>24367700000</v>
      </c>
      <c r="I88" s="12">
        <v>1.51</v>
      </c>
      <c r="J88" s="12">
        <v>9562310</v>
      </c>
      <c r="K88" s="12">
        <v>4.5916499999999996</v>
      </c>
      <c r="L88" s="12">
        <v>6177770</v>
      </c>
      <c r="M88" s="12">
        <v>1.10182</v>
      </c>
      <c r="N88" s="12">
        <v>277.29000000000002</v>
      </c>
      <c r="O88" s="12">
        <v>96.506900000000002</v>
      </c>
      <c r="P88" s="12">
        <v>75.959999999999994</v>
      </c>
      <c r="Q88" s="12">
        <v>72.314800000000005</v>
      </c>
      <c r="R88" s="12">
        <v>73.179000000000002</v>
      </c>
      <c r="S88" s="12">
        <v>90.460800000000006</v>
      </c>
      <c r="T88" s="12">
        <v>143.77799999999999</v>
      </c>
      <c r="U88" s="12">
        <v>4.33</v>
      </c>
      <c r="V88" s="12"/>
      <c r="W88" s="12"/>
      <c r="X88" s="12">
        <v>26.821000000000002</v>
      </c>
      <c r="Y88" s="12">
        <v>14.401400000000001</v>
      </c>
      <c r="Z88" s="11">
        <f t="shared" si="1"/>
        <v>19</v>
      </c>
    </row>
    <row r="89" spans="1:26" x14ac:dyDescent="0.2">
      <c r="A89" s="2">
        <v>88</v>
      </c>
      <c r="B89" s="10" t="s">
        <v>302</v>
      </c>
      <c r="C89" s="11" t="s">
        <v>93</v>
      </c>
      <c r="D89" s="11" t="s">
        <v>431</v>
      </c>
      <c r="E89" s="12">
        <v>3.3690000000000002</v>
      </c>
      <c r="F89" s="12"/>
      <c r="G89" s="12">
        <v>67.832599999999999</v>
      </c>
      <c r="H89" s="12">
        <v>689255000</v>
      </c>
      <c r="I89" s="12">
        <v>1.59</v>
      </c>
      <c r="J89" s="12">
        <v>404610</v>
      </c>
      <c r="K89" s="12">
        <v>3.94747</v>
      </c>
      <c r="L89" s="12">
        <v>269437</v>
      </c>
      <c r="M89" s="12">
        <v>14.6883</v>
      </c>
      <c r="N89" s="12">
        <v>17.3</v>
      </c>
      <c r="O89" s="12">
        <v>99.921099999999996</v>
      </c>
      <c r="P89" s="12">
        <v>82.86</v>
      </c>
      <c r="Q89" s="12">
        <v>0</v>
      </c>
      <c r="R89" s="12">
        <v>94.093999999999994</v>
      </c>
      <c r="S89" s="12">
        <v>99.686999999999998</v>
      </c>
      <c r="T89" s="12">
        <v>84.321899999999999</v>
      </c>
      <c r="U89" s="12">
        <v>4.99</v>
      </c>
      <c r="V89" s="12"/>
      <c r="W89" s="12"/>
      <c r="X89" s="12">
        <v>5.9059999999999997</v>
      </c>
      <c r="Y89" s="12">
        <v>17.763400000000001</v>
      </c>
      <c r="Z89" s="11">
        <f t="shared" si="1"/>
        <v>18</v>
      </c>
    </row>
    <row r="90" spans="1:26" x14ac:dyDescent="0.2">
      <c r="A90" s="2">
        <v>89</v>
      </c>
      <c r="B90" s="10" t="s">
        <v>299</v>
      </c>
      <c r="C90" s="11" t="s">
        <v>89</v>
      </c>
      <c r="D90" s="11" t="s">
        <v>437</v>
      </c>
      <c r="E90" s="12">
        <v>14.06</v>
      </c>
      <c r="F90" s="12">
        <v>96.535899999999998</v>
      </c>
      <c r="G90" s="12">
        <v>17.907</v>
      </c>
      <c r="H90" s="12">
        <v>40942400000</v>
      </c>
      <c r="I90" s="12">
        <v>1.9750000000000001</v>
      </c>
      <c r="J90" s="12">
        <v>1450940000</v>
      </c>
      <c r="K90" s="12">
        <v>1.57609</v>
      </c>
      <c r="L90" s="12">
        <v>989967000</v>
      </c>
      <c r="M90" s="12">
        <v>3.1999900000000001</v>
      </c>
      <c r="N90" s="12">
        <v>9338.1200000000008</v>
      </c>
      <c r="O90" s="12">
        <v>97.737700000000004</v>
      </c>
      <c r="P90" s="12">
        <v>68.349999999999994</v>
      </c>
      <c r="Q90" s="12">
        <v>67.785200000000003</v>
      </c>
      <c r="R90" s="12">
        <v>36.866999999999997</v>
      </c>
      <c r="S90" s="12">
        <v>46.31</v>
      </c>
      <c r="T90" s="12">
        <v>44.671100000000003</v>
      </c>
      <c r="U90" s="12">
        <v>4.59</v>
      </c>
      <c r="V90" s="12"/>
      <c r="W90" s="12"/>
      <c r="X90" s="12">
        <v>63.133000000000003</v>
      </c>
      <c r="Y90" s="12">
        <v>24.623899999999999</v>
      </c>
      <c r="Z90" s="11">
        <f t="shared" si="1"/>
        <v>19</v>
      </c>
    </row>
    <row r="91" spans="1:26" x14ac:dyDescent="0.2">
      <c r="A91" s="2">
        <v>90</v>
      </c>
      <c r="B91" s="10" t="s">
        <v>495</v>
      </c>
      <c r="C91" s="11" t="s">
        <v>496</v>
      </c>
      <c r="D91" s="11" t="s">
        <v>517</v>
      </c>
      <c r="E91" s="12">
        <v>26.419</v>
      </c>
      <c r="F91" s="12">
        <v>99.779499999999999</v>
      </c>
      <c r="G91" s="12">
        <v>10.583399999999999</v>
      </c>
      <c r="H91" s="12">
        <v>10509300000</v>
      </c>
      <c r="I91" s="12">
        <v>2.1269999999999998</v>
      </c>
      <c r="J91" s="12">
        <v>283488000</v>
      </c>
      <c r="K91" s="12">
        <v>2.0716600000000001</v>
      </c>
      <c r="L91" s="12">
        <v>193094000</v>
      </c>
      <c r="M91" s="12">
        <v>1.2384900000000001</v>
      </c>
      <c r="N91" s="12">
        <v>3106.47</v>
      </c>
      <c r="O91" s="12">
        <v>94.3767</v>
      </c>
      <c r="P91" s="12">
        <v>69.069999999999993</v>
      </c>
      <c r="Q91" s="12">
        <v>46.666699999999999</v>
      </c>
      <c r="R91" s="12">
        <v>59.204000000000001</v>
      </c>
      <c r="S91" s="12">
        <v>66.4846</v>
      </c>
      <c r="T91" s="12">
        <v>42.572600000000001</v>
      </c>
      <c r="U91" s="12">
        <v>4.68</v>
      </c>
      <c r="V91" s="12"/>
      <c r="W91" s="12">
        <v>4.6105600000000004</v>
      </c>
      <c r="X91" s="12">
        <v>40.795999999999999</v>
      </c>
      <c r="Y91" s="12">
        <v>24.597799999999999</v>
      </c>
      <c r="Z91" s="11">
        <f t="shared" si="1"/>
        <v>20</v>
      </c>
    </row>
    <row r="92" spans="1:26" x14ac:dyDescent="0.2">
      <c r="A92" s="2">
        <v>91</v>
      </c>
      <c r="B92" s="10" t="s">
        <v>420</v>
      </c>
      <c r="C92" s="11" t="s">
        <v>91</v>
      </c>
      <c r="D92" s="11" t="s">
        <v>440</v>
      </c>
      <c r="E92" s="12">
        <v>26.204000000000001</v>
      </c>
      <c r="F92" s="12">
        <v>98.81</v>
      </c>
      <c r="G92" s="12">
        <v>3.7468400000000002</v>
      </c>
      <c r="H92" s="12">
        <v>206224000</v>
      </c>
      <c r="I92" s="12">
        <v>1.6950000000000001</v>
      </c>
      <c r="J92" s="12">
        <v>91567700</v>
      </c>
      <c r="K92" s="12">
        <v>7.0633499999999998</v>
      </c>
      <c r="L92" s="12">
        <v>63475100</v>
      </c>
      <c r="M92" s="12">
        <v>3.8336299999999999</v>
      </c>
      <c r="N92" s="12">
        <v>1431.73</v>
      </c>
      <c r="O92" s="12">
        <v>99.770899999999997</v>
      </c>
      <c r="P92" s="12">
        <v>75.59</v>
      </c>
      <c r="Q92" s="12">
        <v>38.333300000000001</v>
      </c>
      <c r="R92" s="12">
        <v>77.697999999999993</v>
      </c>
      <c r="S92" s="12">
        <v>78.595699999999994</v>
      </c>
      <c r="T92" s="12">
        <v>49.7149</v>
      </c>
      <c r="U92" s="12">
        <v>4.2699999999999996</v>
      </c>
      <c r="V92" s="12">
        <v>18.181799999999999</v>
      </c>
      <c r="W92" s="12">
        <v>5.8116199999999996</v>
      </c>
      <c r="X92" s="12">
        <v>22.302</v>
      </c>
      <c r="Y92" s="12">
        <v>22.4406</v>
      </c>
      <c r="Z92" s="11">
        <f t="shared" si="1"/>
        <v>21</v>
      </c>
    </row>
    <row r="93" spans="1:26" x14ac:dyDescent="0.2">
      <c r="A93" s="2">
        <v>92</v>
      </c>
      <c r="B93" s="10" t="s">
        <v>301</v>
      </c>
      <c r="C93" s="11" t="s">
        <v>92</v>
      </c>
      <c r="D93" s="11" t="s">
        <v>440</v>
      </c>
      <c r="E93" s="12">
        <v>58.006</v>
      </c>
      <c r="F93" s="12">
        <v>93.5</v>
      </c>
      <c r="G93" s="12"/>
      <c r="H93" s="12"/>
      <c r="I93" s="12">
        <v>3.2490000000000001</v>
      </c>
      <c r="J93" s="12">
        <v>46042000</v>
      </c>
      <c r="K93" s="12">
        <v>3.8421799999999999</v>
      </c>
      <c r="L93" s="12">
        <v>27627200</v>
      </c>
      <c r="M93" s="12">
        <v>7.6041699999999999</v>
      </c>
      <c r="N93" s="12"/>
      <c r="O93" s="12">
        <v>92.999600000000001</v>
      </c>
      <c r="P93" s="12"/>
      <c r="Q93" s="12">
        <v>0</v>
      </c>
      <c r="R93" s="12">
        <v>71.852999999999994</v>
      </c>
      <c r="S93" s="12"/>
      <c r="T93" s="12">
        <v>74.736400000000003</v>
      </c>
      <c r="U93" s="12"/>
      <c r="V93" s="12"/>
      <c r="W93" s="12">
        <v>9.8196399999999997</v>
      </c>
      <c r="X93" s="12">
        <v>28.146999999999998</v>
      </c>
      <c r="Y93" s="12">
        <v>36.581299999999999</v>
      </c>
      <c r="Z93" s="11">
        <f t="shared" si="1"/>
        <v>14</v>
      </c>
    </row>
    <row r="94" spans="1:26" x14ac:dyDescent="0.2">
      <c r="A94" s="2">
        <v>93</v>
      </c>
      <c r="B94" s="10" t="s">
        <v>300</v>
      </c>
      <c r="C94" s="11" t="s">
        <v>90</v>
      </c>
      <c r="D94" s="11" t="s">
        <v>431</v>
      </c>
      <c r="E94" s="12">
        <v>4.069</v>
      </c>
      <c r="F94" s="12"/>
      <c r="G94" s="12">
        <v>17.680700000000002</v>
      </c>
      <c r="H94" s="12">
        <v>91363700000</v>
      </c>
      <c r="I94" s="12">
        <v>1.5</v>
      </c>
      <c r="J94" s="12">
        <v>5380260</v>
      </c>
      <c r="K94" s="12">
        <v>6.76823</v>
      </c>
      <c r="L94" s="12">
        <v>3526890</v>
      </c>
      <c r="M94" s="12">
        <v>0.45044800000000002</v>
      </c>
      <c r="N94" s="12">
        <v>343.01</v>
      </c>
      <c r="O94" s="12">
        <v>99.884600000000006</v>
      </c>
      <c r="P94" s="12">
        <v>81.5</v>
      </c>
      <c r="Q94" s="12">
        <v>84.629599999999996</v>
      </c>
      <c r="R94" s="12">
        <v>64.760000000000005</v>
      </c>
      <c r="S94" s="12">
        <v>95.169600000000003</v>
      </c>
      <c r="T94" s="12">
        <v>252.96299999999999</v>
      </c>
      <c r="U94" s="12">
        <v>5.16</v>
      </c>
      <c r="V94" s="12"/>
      <c r="W94" s="12"/>
      <c r="X94" s="12">
        <v>35.24</v>
      </c>
      <c r="Y94" s="12">
        <v>18.555499999999999</v>
      </c>
      <c r="Z94" s="11">
        <f t="shared" si="1"/>
        <v>18</v>
      </c>
    </row>
    <row r="95" spans="1:26" x14ac:dyDescent="0.2">
      <c r="A95" s="2">
        <v>94</v>
      </c>
      <c r="B95" s="10" t="s">
        <v>298</v>
      </c>
      <c r="C95" s="11" t="s">
        <v>88</v>
      </c>
      <c r="D95" s="11" t="s">
        <v>431</v>
      </c>
      <c r="E95" s="12">
        <v>8.6850000000000005</v>
      </c>
      <c r="F95" s="12"/>
      <c r="G95" s="12"/>
      <c r="H95" s="12"/>
      <c r="I95" s="12">
        <v>1.548</v>
      </c>
      <c r="J95" s="12">
        <v>84160</v>
      </c>
      <c r="K95" s="12"/>
      <c r="L95" s="12">
        <v>52704</v>
      </c>
      <c r="M95" s="12"/>
      <c r="N95" s="12"/>
      <c r="O95" s="12"/>
      <c r="P95" s="12"/>
      <c r="Q95" s="12">
        <v>0</v>
      </c>
      <c r="R95" s="12">
        <v>53.707999999999998</v>
      </c>
      <c r="S95" s="12"/>
      <c r="T95" s="12"/>
      <c r="U95" s="12"/>
      <c r="V95" s="12"/>
      <c r="W95" s="12"/>
      <c r="X95" s="12">
        <v>46.292000000000002</v>
      </c>
      <c r="Y95" s="12">
        <v>14.2234</v>
      </c>
      <c r="Z95" s="11">
        <f t="shared" si="1"/>
        <v>8</v>
      </c>
    </row>
    <row r="96" spans="1:26" x14ac:dyDescent="0.2">
      <c r="A96" s="2">
        <v>95</v>
      </c>
      <c r="B96" s="10" t="s">
        <v>303</v>
      </c>
      <c r="C96" s="11" t="s">
        <v>94</v>
      </c>
      <c r="D96" s="11" t="s">
        <v>440</v>
      </c>
      <c r="E96" s="12">
        <v>6.2039999999999997</v>
      </c>
      <c r="F96" s="12">
        <v>98.562899999999999</v>
      </c>
      <c r="G96" s="12">
        <v>6.8380799999999997</v>
      </c>
      <c r="H96" s="12">
        <v>19863700000</v>
      </c>
      <c r="I96" s="12">
        <v>2.85</v>
      </c>
      <c r="J96" s="12">
        <v>9974400</v>
      </c>
      <c r="K96" s="12">
        <v>6.3452200000000003</v>
      </c>
      <c r="L96" s="12">
        <v>5988440</v>
      </c>
      <c r="M96" s="12">
        <v>2.2007599999999998</v>
      </c>
      <c r="N96" s="12">
        <v>299.76</v>
      </c>
      <c r="O96" s="12">
        <v>97.3202</v>
      </c>
      <c r="P96" s="12">
        <v>82.05</v>
      </c>
      <c r="Q96" s="12">
        <v>35.9206</v>
      </c>
      <c r="R96" s="12">
        <v>92.945999999999998</v>
      </c>
      <c r="S96" s="12">
        <v>90.296899999999994</v>
      </c>
      <c r="T96" s="12">
        <v>54.451999999999998</v>
      </c>
      <c r="U96" s="12">
        <v>5.31</v>
      </c>
      <c r="V96" s="12"/>
      <c r="W96" s="12"/>
      <c r="X96" s="12">
        <v>7.0540000000000003</v>
      </c>
      <c r="Y96" s="12">
        <v>27.409300000000002</v>
      </c>
      <c r="Z96" s="11">
        <f t="shared" si="1"/>
        <v>19</v>
      </c>
    </row>
    <row r="97" spans="1:26" x14ac:dyDescent="0.2">
      <c r="A97" s="2">
        <v>96</v>
      </c>
      <c r="B97" s="10" t="s">
        <v>304</v>
      </c>
      <c r="C97" s="11" t="s">
        <v>95</v>
      </c>
      <c r="D97" s="13" t="s">
        <v>435</v>
      </c>
      <c r="E97" s="12">
        <v>2.8519999999999999</v>
      </c>
      <c r="F97" s="12">
        <v>99.874200000000002</v>
      </c>
      <c r="G97" s="12">
        <v>89.127099999999999</v>
      </c>
      <c r="H97" s="12">
        <v>52167600000</v>
      </c>
      <c r="I97" s="12">
        <v>1.2</v>
      </c>
      <c r="J97" s="12">
        <v>58986000</v>
      </c>
      <c r="K97" s="12">
        <v>4.7323700000000004</v>
      </c>
      <c r="L97" s="12">
        <v>37446000</v>
      </c>
      <c r="M97" s="12">
        <v>2.6422300000000001</v>
      </c>
      <c r="N97" s="12">
        <v>2131.0500000000002</v>
      </c>
      <c r="O97" s="12">
        <v>97.242900000000006</v>
      </c>
      <c r="P97" s="12">
        <v>83.49</v>
      </c>
      <c r="Q97" s="12">
        <v>84.111099999999993</v>
      </c>
      <c r="R97" s="12">
        <v>72.292000000000002</v>
      </c>
      <c r="S97" s="12">
        <v>85.060699999999997</v>
      </c>
      <c r="T97" s="12">
        <v>63.176099999999998</v>
      </c>
      <c r="U97" s="12">
        <v>4.54</v>
      </c>
      <c r="V97" s="12"/>
      <c r="W97" s="12"/>
      <c r="X97" s="12">
        <v>27.707999999999998</v>
      </c>
      <c r="Y97" s="12">
        <v>11.892300000000001</v>
      </c>
      <c r="Z97" s="11">
        <f t="shared" si="1"/>
        <v>19</v>
      </c>
    </row>
    <row r="98" spans="1:26" x14ac:dyDescent="0.2">
      <c r="A98" s="2">
        <v>97</v>
      </c>
      <c r="B98" s="10" t="s">
        <v>305</v>
      </c>
      <c r="C98" s="11" t="s">
        <v>96</v>
      </c>
      <c r="D98" s="11" t="s">
        <v>518</v>
      </c>
      <c r="E98" s="12">
        <v>36.540999999999997</v>
      </c>
      <c r="F98" s="12">
        <v>91.603399999999993</v>
      </c>
      <c r="G98" s="12">
        <v>8.8263200000000008</v>
      </c>
      <c r="H98" s="12">
        <v>1222620</v>
      </c>
      <c r="I98" s="12">
        <v>1.3580000000000001</v>
      </c>
      <c r="J98" s="12">
        <v>2839180</v>
      </c>
      <c r="K98" s="12">
        <v>2.0690400000000002</v>
      </c>
      <c r="L98" s="12">
        <v>2075100</v>
      </c>
      <c r="M98" s="12">
        <v>4.9211499999999999</v>
      </c>
      <c r="N98" s="12">
        <v>24.02</v>
      </c>
      <c r="O98" s="12">
        <v>81.382300000000001</v>
      </c>
      <c r="P98" s="12">
        <v>75.8</v>
      </c>
      <c r="Q98" s="12">
        <v>32.944400000000002</v>
      </c>
      <c r="R98" s="12">
        <v>57.762</v>
      </c>
      <c r="S98" s="12">
        <v>82.360699999999994</v>
      </c>
      <c r="T98" s="12">
        <v>90.110600000000005</v>
      </c>
      <c r="U98" s="12">
        <v>4.25</v>
      </c>
      <c r="V98" s="12"/>
      <c r="W98" s="12"/>
      <c r="X98" s="12">
        <v>42.238</v>
      </c>
      <c r="Y98" s="12">
        <v>18.702400000000001</v>
      </c>
      <c r="Z98" s="11">
        <f t="shared" si="1"/>
        <v>19</v>
      </c>
    </row>
    <row r="99" spans="1:26" x14ac:dyDescent="0.2">
      <c r="A99" s="2">
        <v>98</v>
      </c>
      <c r="B99" s="10" t="s">
        <v>307</v>
      </c>
      <c r="C99" s="11" t="s">
        <v>98</v>
      </c>
      <c r="D99" s="11" t="s">
        <v>437</v>
      </c>
      <c r="E99" s="12">
        <v>1.7370000000000001</v>
      </c>
      <c r="F99" s="12"/>
      <c r="G99" s="12">
        <v>52.8996</v>
      </c>
      <c r="H99" s="12">
        <v>102451000000</v>
      </c>
      <c r="I99" s="12">
        <v>1.2</v>
      </c>
      <c r="J99" s="12">
        <v>123975000</v>
      </c>
      <c r="K99" s="12">
        <v>8.0314999999999994</v>
      </c>
      <c r="L99" s="12">
        <v>72876600</v>
      </c>
      <c r="M99" s="12">
        <v>0.84064000000000005</v>
      </c>
      <c r="N99" s="12">
        <v>4972.91</v>
      </c>
      <c r="O99" s="12"/>
      <c r="P99" s="12">
        <v>83.84</v>
      </c>
      <c r="Q99" s="12">
        <v>63.536999999999999</v>
      </c>
      <c r="R99" s="12">
        <v>92.134</v>
      </c>
      <c r="S99" s="12">
        <v>82.914100000000005</v>
      </c>
      <c r="T99" s="12">
        <v>45.1509</v>
      </c>
      <c r="U99" s="12">
        <v>5.49</v>
      </c>
      <c r="V99" s="12"/>
      <c r="W99" s="12">
        <v>2.4910999999999999</v>
      </c>
      <c r="X99" s="12">
        <v>7.8659999999999997</v>
      </c>
      <c r="Y99" s="12">
        <v>11.4361</v>
      </c>
      <c r="Z99" s="11">
        <f t="shared" si="1"/>
        <v>18</v>
      </c>
    </row>
    <row r="100" spans="1:26" x14ac:dyDescent="0.2">
      <c r="A100" s="2">
        <v>99</v>
      </c>
      <c r="B100" s="10" t="s">
        <v>306</v>
      </c>
      <c r="C100" s="11" t="s">
        <v>97</v>
      </c>
      <c r="D100" s="11" t="s">
        <v>440</v>
      </c>
      <c r="E100" s="12">
        <v>18.425000000000001</v>
      </c>
      <c r="F100" s="12">
        <v>99.42</v>
      </c>
      <c r="G100" s="12">
        <v>6.5795199999999996</v>
      </c>
      <c r="H100" s="12">
        <v>177694000</v>
      </c>
      <c r="I100" s="12">
        <v>2.6389999999999998</v>
      </c>
      <c r="J100" s="12">
        <v>11552900</v>
      </c>
      <c r="K100" s="12">
        <v>1.91917</v>
      </c>
      <c r="L100" s="12">
        <v>7487230</v>
      </c>
      <c r="M100" s="12">
        <v>2.2144900000000001</v>
      </c>
      <c r="N100" s="12">
        <v>83.05</v>
      </c>
      <c r="O100" s="12">
        <v>80.953999999999994</v>
      </c>
      <c r="P100" s="12">
        <v>74.2</v>
      </c>
      <c r="Q100" s="12">
        <v>37.817500000000003</v>
      </c>
      <c r="R100" s="12">
        <v>92.206000000000003</v>
      </c>
      <c r="S100" s="12">
        <v>86</v>
      </c>
      <c r="T100" s="12">
        <v>99.679400000000001</v>
      </c>
      <c r="U100" s="12">
        <v>4.3</v>
      </c>
      <c r="V100" s="12"/>
      <c r="W100" s="12">
        <v>5.2631600000000001</v>
      </c>
      <c r="X100" s="12">
        <v>7.7939999999999996</v>
      </c>
      <c r="Y100" s="12">
        <v>30.668399999999998</v>
      </c>
      <c r="Z100" s="11">
        <f t="shared" si="1"/>
        <v>20</v>
      </c>
    </row>
    <row r="101" spans="1:26" x14ac:dyDescent="0.2">
      <c r="A101" s="2">
        <v>100</v>
      </c>
      <c r="B101" s="10" t="s">
        <v>308</v>
      </c>
      <c r="C101" s="11" t="s">
        <v>99</v>
      </c>
      <c r="D101" s="13" t="s">
        <v>436</v>
      </c>
      <c r="E101" s="12">
        <v>18.234999999999999</v>
      </c>
      <c r="F101" s="12">
        <v>99.9</v>
      </c>
      <c r="G101" s="12">
        <v>2.1232799999999998</v>
      </c>
      <c r="H101" s="14">
        <v>5145670000</v>
      </c>
      <c r="I101" s="12">
        <v>3.012</v>
      </c>
      <c r="J101" s="12">
        <v>20592600</v>
      </c>
      <c r="K101" s="12">
        <v>11.297700000000001</v>
      </c>
      <c r="L101" s="12">
        <v>12761900</v>
      </c>
      <c r="M101" s="12">
        <v>1.85154</v>
      </c>
      <c r="N101" s="12">
        <v>452.14</v>
      </c>
      <c r="O101" s="12">
        <v>98.772900000000007</v>
      </c>
      <c r="P101" s="12">
        <v>72</v>
      </c>
      <c r="Q101" s="12">
        <v>24.923300000000001</v>
      </c>
      <c r="R101" s="12">
        <v>58.387</v>
      </c>
      <c r="S101" s="12">
        <v>92.296899999999994</v>
      </c>
      <c r="T101" s="12">
        <v>61.962400000000002</v>
      </c>
      <c r="U101" s="12">
        <v>4.3499999999999996</v>
      </c>
      <c r="V101" s="12">
        <v>5.8651</v>
      </c>
      <c r="W101" s="12">
        <v>3.2786900000000001</v>
      </c>
      <c r="X101" s="12">
        <v>41.613</v>
      </c>
      <c r="Y101" s="12">
        <v>29.3733</v>
      </c>
      <c r="Z101" s="11">
        <f t="shared" si="1"/>
        <v>21</v>
      </c>
    </row>
    <row r="102" spans="1:26" x14ac:dyDescent="0.2">
      <c r="A102" s="2">
        <v>101</v>
      </c>
      <c r="B102" s="10" t="s">
        <v>309</v>
      </c>
      <c r="C102" s="11" t="s">
        <v>100</v>
      </c>
      <c r="D102" s="11" t="s">
        <v>434</v>
      </c>
      <c r="E102" s="12">
        <v>56.313000000000002</v>
      </c>
      <c r="F102" s="12">
        <v>89.01</v>
      </c>
      <c r="G102" s="12">
        <v>9.0089500000000005</v>
      </c>
      <c r="H102" s="12">
        <v>60148800</v>
      </c>
      <c r="I102" s="12">
        <v>3.2080000000000002</v>
      </c>
      <c r="J102" s="12">
        <v>56432900</v>
      </c>
      <c r="K102" s="12">
        <v>0.37407899999999999</v>
      </c>
      <c r="L102" s="12">
        <v>33971400</v>
      </c>
      <c r="M102" s="12">
        <v>4.5202400000000003</v>
      </c>
      <c r="N102" s="12">
        <v>157.59</v>
      </c>
      <c r="O102" s="12">
        <v>81.230099999999993</v>
      </c>
      <c r="P102" s="12">
        <v>62.13</v>
      </c>
      <c r="Q102" s="12">
        <v>42.925899999999999</v>
      </c>
      <c r="R102" s="12">
        <v>30.048999999999999</v>
      </c>
      <c r="S102" s="12">
        <v>28.7575</v>
      </c>
      <c r="T102" s="12">
        <v>30.293299999999999</v>
      </c>
      <c r="U102" s="12">
        <v>3.98</v>
      </c>
      <c r="V102" s="12">
        <v>34.683500000000002</v>
      </c>
      <c r="W102" s="12">
        <v>15.062799999999999</v>
      </c>
      <c r="X102" s="12">
        <v>69.950999999999993</v>
      </c>
      <c r="Y102" s="12">
        <v>36.836100000000002</v>
      </c>
      <c r="Z102" s="11">
        <f t="shared" si="1"/>
        <v>21</v>
      </c>
    </row>
    <row r="103" spans="1:26" x14ac:dyDescent="0.2">
      <c r="A103" s="2">
        <v>102</v>
      </c>
      <c r="B103" s="10" t="s">
        <v>311</v>
      </c>
      <c r="C103" s="11" t="s">
        <v>102</v>
      </c>
      <c r="D103" s="13" t="s">
        <v>438</v>
      </c>
      <c r="E103" s="12">
        <v>44.026000000000003</v>
      </c>
      <c r="F103" s="12"/>
      <c r="G103" s="12"/>
      <c r="H103" s="12">
        <v>4264</v>
      </c>
      <c r="I103" s="12">
        <v>3.1469999999999998</v>
      </c>
      <c r="J103" s="12">
        <v>134518</v>
      </c>
      <c r="K103" s="12">
        <v>0.449934</v>
      </c>
      <c r="L103" s="12">
        <v>82149</v>
      </c>
      <c r="M103" s="12">
        <v>12.5868</v>
      </c>
      <c r="N103" s="12"/>
      <c r="O103" s="12">
        <v>96.087500000000006</v>
      </c>
      <c r="P103" s="12"/>
      <c r="Q103" s="12">
        <v>0</v>
      </c>
      <c r="R103" s="12">
        <v>58.448</v>
      </c>
      <c r="S103" s="12"/>
      <c r="T103" s="12">
        <v>101.151</v>
      </c>
      <c r="U103" s="12"/>
      <c r="V103" s="12"/>
      <c r="W103" s="12"/>
      <c r="X103" s="12">
        <v>41.552</v>
      </c>
      <c r="Y103" s="12">
        <v>34.693899999999999</v>
      </c>
      <c r="Z103" s="11">
        <f t="shared" si="1"/>
        <v>13</v>
      </c>
    </row>
    <row r="104" spans="1:26" x14ac:dyDescent="0.2">
      <c r="A104" s="2">
        <v>103</v>
      </c>
      <c r="B104" s="10" t="s">
        <v>313</v>
      </c>
      <c r="C104" s="11" t="s">
        <v>105</v>
      </c>
      <c r="D104" s="11" t="s">
        <v>440</v>
      </c>
      <c r="E104" s="12">
        <v>1.5760000000000001</v>
      </c>
      <c r="F104" s="12">
        <v>99.303299999999993</v>
      </c>
      <c r="G104" s="12">
        <v>1.2941800000000001</v>
      </c>
      <c r="H104" s="12">
        <v>54309600</v>
      </c>
      <c r="I104" s="12">
        <v>1.524</v>
      </c>
      <c r="J104" s="12">
        <v>4973860</v>
      </c>
      <c r="K104" s="12">
        <v>21.169599999999999</v>
      </c>
      <c r="L104" s="12">
        <v>3913250</v>
      </c>
      <c r="M104" s="12">
        <v>15.212899999999999</v>
      </c>
      <c r="N104" s="12">
        <v>272.41000000000003</v>
      </c>
      <c r="O104" s="12">
        <v>88.236099999999993</v>
      </c>
      <c r="P104" s="12">
        <v>74.7</v>
      </c>
      <c r="Q104" s="12">
        <v>11.7593</v>
      </c>
      <c r="R104" s="12">
        <v>100</v>
      </c>
      <c r="S104" s="12">
        <v>99.7</v>
      </c>
      <c r="T104" s="12">
        <v>90.918800000000005</v>
      </c>
      <c r="U104" s="12">
        <v>4.43</v>
      </c>
      <c r="V104" s="12"/>
      <c r="W104" s="12"/>
      <c r="X104" s="12">
        <v>0</v>
      </c>
      <c r="Y104" s="12">
        <v>18.218800000000002</v>
      </c>
      <c r="Z104" s="11">
        <f t="shared" si="1"/>
        <v>19</v>
      </c>
    </row>
    <row r="105" spans="1:26" x14ac:dyDescent="0.2">
      <c r="A105" s="2">
        <v>104</v>
      </c>
      <c r="B105" s="10" t="s">
        <v>310</v>
      </c>
      <c r="C105" s="11" t="s">
        <v>101</v>
      </c>
      <c r="D105" s="11" t="s">
        <v>437</v>
      </c>
      <c r="E105" s="12">
        <v>28.324000000000002</v>
      </c>
      <c r="F105" s="12">
        <v>99.7</v>
      </c>
      <c r="G105" s="12">
        <v>0.86901899999999999</v>
      </c>
      <c r="H105" s="12">
        <v>195275000</v>
      </c>
      <c r="I105" s="12">
        <v>2.7</v>
      </c>
      <c r="J105" s="12">
        <v>7224610</v>
      </c>
      <c r="K105" s="12">
        <v>1.37998</v>
      </c>
      <c r="L105" s="12">
        <v>4477560</v>
      </c>
      <c r="M105" s="12">
        <v>4.5669399999999998</v>
      </c>
      <c r="N105" s="12">
        <v>21.8</v>
      </c>
      <c r="O105" s="12">
        <v>98.668199999999999</v>
      </c>
      <c r="P105" s="12">
        <v>70.650000000000006</v>
      </c>
      <c r="Q105" s="12">
        <v>17.0688</v>
      </c>
      <c r="R105" s="12">
        <v>38.165999999999997</v>
      </c>
      <c r="S105" s="12">
        <v>77.920400000000001</v>
      </c>
      <c r="T105" s="12">
        <v>132.37299999999999</v>
      </c>
      <c r="U105" s="12">
        <v>3.9</v>
      </c>
      <c r="V105" s="12">
        <v>5.3651999999999997</v>
      </c>
      <c r="W105" s="12">
        <v>3.47966</v>
      </c>
      <c r="X105" s="12">
        <v>61.834000000000003</v>
      </c>
      <c r="Y105" s="12">
        <v>32.3416</v>
      </c>
      <c r="Z105" s="11">
        <f t="shared" si="1"/>
        <v>21</v>
      </c>
    </row>
    <row r="106" spans="1:26" x14ac:dyDescent="0.2">
      <c r="A106" s="2">
        <v>105</v>
      </c>
      <c r="B106" s="10" t="s">
        <v>497</v>
      </c>
      <c r="C106" s="11" t="s">
        <v>498</v>
      </c>
      <c r="D106" s="11" t="s">
        <v>517</v>
      </c>
      <c r="E106" s="12">
        <v>81.653999999999996</v>
      </c>
      <c r="F106" s="12">
        <v>94.51</v>
      </c>
      <c r="G106" s="12">
        <v>1.47682</v>
      </c>
      <c r="H106" s="12">
        <v>109836000</v>
      </c>
      <c r="I106" s="12">
        <v>2.4209999999999998</v>
      </c>
      <c r="J106" s="12">
        <v>7769820</v>
      </c>
      <c r="K106" s="12">
        <v>2.6202800000000002</v>
      </c>
      <c r="L106" s="12">
        <v>5060930</v>
      </c>
      <c r="M106" s="12">
        <v>4.4705199999999996</v>
      </c>
      <c r="N106" s="12">
        <v>47.74</v>
      </c>
      <c r="O106" s="12">
        <v>91.467100000000002</v>
      </c>
      <c r="P106" s="12">
        <v>66.540000000000006</v>
      </c>
      <c r="Q106" s="12">
        <v>23.894200000000001</v>
      </c>
      <c r="R106" s="12">
        <v>38.905999999999999</v>
      </c>
      <c r="S106" s="12">
        <v>62</v>
      </c>
      <c r="T106" s="12">
        <v>75.091899999999995</v>
      </c>
      <c r="U106" s="12">
        <v>3.91</v>
      </c>
      <c r="V106" s="12"/>
      <c r="W106" s="12"/>
      <c r="X106" s="12">
        <v>61.094000000000001</v>
      </c>
      <c r="Y106" s="12">
        <v>30.198399999999999</v>
      </c>
      <c r="Z106" s="11">
        <f t="shared" si="1"/>
        <v>19</v>
      </c>
    </row>
    <row r="107" spans="1:26" x14ac:dyDescent="0.2">
      <c r="A107" s="2">
        <v>106</v>
      </c>
      <c r="B107" s="10" t="s">
        <v>323</v>
      </c>
      <c r="C107" s="11" t="s">
        <v>115</v>
      </c>
      <c r="D107" s="13" t="s">
        <v>436</v>
      </c>
      <c r="E107" s="12">
        <v>7.5650000000000004</v>
      </c>
      <c r="F107" s="12">
        <v>99.82</v>
      </c>
      <c r="G107" s="12">
        <v>2.15991</v>
      </c>
      <c r="H107" s="14">
        <v>2129360000</v>
      </c>
      <c r="I107" s="12">
        <v>1.36</v>
      </c>
      <c r="J107" s="12">
        <v>1862440</v>
      </c>
      <c r="K107" s="12">
        <v>3.64561</v>
      </c>
      <c r="L107" s="12">
        <v>1170560</v>
      </c>
      <c r="M107" s="12">
        <v>5.7206200000000003</v>
      </c>
      <c r="N107" s="12">
        <v>51.4</v>
      </c>
      <c r="O107" s="12">
        <v>97.109099999999998</v>
      </c>
      <c r="P107" s="12">
        <v>74.12</v>
      </c>
      <c r="Q107" s="12">
        <v>0</v>
      </c>
      <c r="R107" s="12">
        <v>68.814999999999998</v>
      </c>
      <c r="S107" s="12">
        <v>91.030100000000004</v>
      </c>
      <c r="T107" s="12">
        <v>131.804</v>
      </c>
      <c r="U107" s="12">
        <v>4.4000000000000004</v>
      </c>
      <c r="V107" s="12"/>
      <c r="W107" s="12"/>
      <c r="X107" s="12">
        <v>31.184999999999999</v>
      </c>
      <c r="Y107" s="12">
        <v>15.4133</v>
      </c>
      <c r="Z107" s="11">
        <f t="shared" si="1"/>
        <v>19</v>
      </c>
    </row>
    <row r="108" spans="1:26" x14ac:dyDescent="0.2">
      <c r="A108" s="2">
        <v>107</v>
      </c>
      <c r="B108" s="10" t="s">
        <v>314</v>
      </c>
      <c r="C108" s="11" t="s">
        <v>106</v>
      </c>
      <c r="D108" s="11" t="s">
        <v>440</v>
      </c>
      <c r="E108" s="12">
        <v>20.831</v>
      </c>
      <c r="F108" s="12">
        <v>99.79</v>
      </c>
      <c r="G108" s="12">
        <v>5.8892600000000002</v>
      </c>
      <c r="H108" s="12">
        <v>98096500</v>
      </c>
      <c r="I108" s="12">
        <v>2.2389999999999999</v>
      </c>
      <c r="J108" s="12">
        <v>5805960</v>
      </c>
      <c r="K108" s="12">
        <v>3.7921900000000002</v>
      </c>
      <c r="L108" s="12">
        <v>3696950</v>
      </c>
      <c r="M108" s="12">
        <v>11.173500000000001</v>
      </c>
      <c r="N108" s="12">
        <v>79.540000000000006</v>
      </c>
      <c r="O108" s="12">
        <v>97.872500000000002</v>
      </c>
      <c r="P108" s="12">
        <v>79.63</v>
      </c>
      <c r="Q108" s="12">
        <v>33.381</v>
      </c>
      <c r="R108" s="12">
        <v>89.602999999999994</v>
      </c>
      <c r="S108" s="12">
        <v>86.588999999999999</v>
      </c>
      <c r="T108" s="12">
        <v>104.206</v>
      </c>
      <c r="U108" s="12">
        <v>3.84</v>
      </c>
      <c r="V108" s="12"/>
      <c r="W108" s="12">
        <v>3.4166699999999999</v>
      </c>
      <c r="X108" s="12">
        <v>10.397</v>
      </c>
      <c r="Y108" s="12">
        <v>26.186399999999999</v>
      </c>
      <c r="Z108" s="11">
        <f t="shared" si="1"/>
        <v>20</v>
      </c>
    </row>
    <row r="109" spans="1:26" x14ac:dyDescent="0.2">
      <c r="A109" s="2">
        <v>108</v>
      </c>
      <c r="B109" s="10" t="s">
        <v>320</v>
      </c>
      <c r="C109" s="11" t="s">
        <v>112</v>
      </c>
      <c r="D109" s="11" t="s">
        <v>432</v>
      </c>
      <c r="E109" s="12">
        <v>70.641999999999996</v>
      </c>
      <c r="F109" s="12">
        <v>89.73</v>
      </c>
      <c r="G109" s="12"/>
      <c r="H109" s="12">
        <v>480654</v>
      </c>
      <c r="I109" s="12">
        <v>2.694</v>
      </c>
      <c r="J109" s="12">
        <v>2337420</v>
      </c>
      <c r="K109" s="12">
        <v>1.0256400000000001</v>
      </c>
      <c r="L109" s="12">
        <v>1440420</v>
      </c>
      <c r="M109" s="12">
        <v>13.915800000000001</v>
      </c>
      <c r="N109" s="12">
        <v>6.14</v>
      </c>
      <c r="O109" s="12">
        <v>91.201800000000006</v>
      </c>
      <c r="P109" s="12">
        <v>49.96</v>
      </c>
      <c r="Q109" s="12">
        <v>0</v>
      </c>
      <c r="R109" s="12">
        <v>30.896999999999998</v>
      </c>
      <c r="S109" s="12"/>
      <c r="T109" s="12">
        <v>141.51400000000001</v>
      </c>
      <c r="U109" s="12">
        <v>3.2</v>
      </c>
      <c r="V109" s="12">
        <v>48.570599999999999</v>
      </c>
      <c r="W109" s="12"/>
      <c r="X109" s="12">
        <v>69.102999999999994</v>
      </c>
      <c r="Y109" s="12">
        <v>34.519300000000001</v>
      </c>
      <c r="Z109" s="11">
        <f t="shared" si="1"/>
        <v>18</v>
      </c>
    </row>
    <row r="110" spans="1:26" x14ac:dyDescent="0.2">
      <c r="A110" s="2">
        <v>109</v>
      </c>
      <c r="B110" s="10" t="s">
        <v>315</v>
      </c>
      <c r="C110" s="11" t="s">
        <v>107</v>
      </c>
      <c r="D110" s="11" t="s">
        <v>434</v>
      </c>
      <c r="E110" s="12">
        <v>126.012</v>
      </c>
      <c r="F110" s="12">
        <v>77.459999999999994</v>
      </c>
      <c r="G110" s="12"/>
      <c r="H110" s="12">
        <v>97955</v>
      </c>
      <c r="I110" s="12">
        <v>3.95</v>
      </c>
      <c r="J110" s="12">
        <v>5612820</v>
      </c>
      <c r="K110" s="12">
        <v>0.23183899999999999</v>
      </c>
      <c r="L110" s="12">
        <v>3208590</v>
      </c>
      <c r="M110" s="12">
        <v>2.9926699999999999</v>
      </c>
      <c r="N110" s="12"/>
      <c r="O110" s="12">
        <v>44.569800000000001</v>
      </c>
      <c r="P110" s="12">
        <v>61.16</v>
      </c>
      <c r="Q110" s="12">
        <v>14.468299999999999</v>
      </c>
      <c r="R110" s="12">
        <v>54.076999999999998</v>
      </c>
      <c r="S110" s="12"/>
      <c r="T110" s="12"/>
      <c r="U110" s="12">
        <v>3.08</v>
      </c>
      <c r="V110" s="12">
        <v>40.650300000000001</v>
      </c>
      <c r="W110" s="12"/>
      <c r="X110" s="12">
        <v>45.923000000000002</v>
      </c>
      <c r="Y110" s="12">
        <v>39.529600000000002</v>
      </c>
      <c r="Z110" s="11">
        <f t="shared" si="1"/>
        <v>16</v>
      </c>
    </row>
    <row r="111" spans="1:26" x14ac:dyDescent="0.2">
      <c r="A111" s="2">
        <v>110</v>
      </c>
      <c r="B111" s="10" t="s">
        <v>316</v>
      </c>
      <c r="C111" s="11" t="s">
        <v>108</v>
      </c>
      <c r="D111" s="11" t="s">
        <v>435</v>
      </c>
      <c r="E111" s="12">
        <v>5.923</v>
      </c>
      <c r="F111" s="12">
        <v>97.9</v>
      </c>
      <c r="G111" s="12"/>
      <c r="H111" s="12">
        <v>1125920</v>
      </c>
      <c r="I111" s="12">
        <v>2.355</v>
      </c>
      <c r="J111" s="12">
        <v>7381020</v>
      </c>
      <c r="K111" s="12">
        <v>6.6828099999999999</v>
      </c>
      <c r="L111" s="12">
        <v>4987240</v>
      </c>
      <c r="M111" s="12">
        <v>10.833600000000001</v>
      </c>
      <c r="N111" s="12"/>
      <c r="O111" s="12">
        <v>98.059799999999996</v>
      </c>
      <c r="P111" s="12">
        <v>75.180000000000007</v>
      </c>
      <c r="Q111" s="12">
        <v>0</v>
      </c>
      <c r="R111" s="12">
        <v>81.906999999999996</v>
      </c>
      <c r="S111" s="12"/>
      <c r="T111" s="12">
        <v>133.929</v>
      </c>
      <c r="U111" s="12">
        <v>3.48</v>
      </c>
      <c r="V111" s="12"/>
      <c r="W111" s="12">
        <v>6.65543</v>
      </c>
      <c r="X111" s="12">
        <v>18.093</v>
      </c>
      <c r="Y111" s="12">
        <v>27.412400000000002</v>
      </c>
      <c r="Z111" s="11">
        <f t="shared" si="1"/>
        <v>17</v>
      </c>
    </row>
    <row r="112" spans="1:26" x14ac:dyDescent="0.2">
      <c r="A112" s="2">
        <v>111</v>
      </c>
      <c r="B112" s="10" t="s">
        <v>318</v>
      </c>
      <c r="C112" s="11" t="s">
        <v>110</v>
      </c>
      <c r="D112" s="13" t="s">
        <v>436</v>
      </c>
      <c r="E112" s="12">
        <v>1.718</v>
      </c>
      <c r="F112" s="12"/>
      <c r="G112" s="12"/>
      <c r="H112" s="14"/>
      <c r="I112" s="12">
        <v>1.45</v>
      </c>
      <c r="J112" s="12">
        <v>40197</v>
      </c>
      <c r="K112" s="12">
        <v>3.6638500000000001</v>
      </c>
      <c r="L112" s="12">
        <v>26133</v>
      </c>
      <c r="M112" s="12"/>
      <c r="N112" s="12"/>
      <c r="O112" s="12">
        <v>99.3108</v>
      </c>
      <c r="P112" s="12"/>
      <c r="Q112" s="12">
        <v>0</v>
      </c>
      <c r="R112" s="12">
        <v>14.707000000000001</v>
      </c>
      <c r="S112" s="12"/>
      <c r="T112" s="12"/>
      <c r="U112" s="12"/>
      <c r="V112" s="12"/>
      <c r="W112" s="12"/>
      <c r="X112" s="12">
        <v>85.293000000000006</v>
      </c>
      <c r="Y112" s="12">
        <v>14.262600000000001</v>
      </c>
      <c r="Z112" s="11">
        <f t="shared" si="1"/>
        <v>10</v>
      </c>
    </row>
    <row r="113" spans="1:26" x14ac:dyDescent="0.2">
      <c r="A113" s="2">
        <v>112</v>
      </c>
      <c r="B113" s="10" t="s">
        <v>321</v>
      </c>
      <c r="C113" s="11" t="s">
        <v>113</v>
      </c>
      <c r="D113" s="13" t="s">
        <v>436</v>
      </c>
      <c r="E113" s="12">
        <v>5.8540000000000001</v>
      </c>
      <c r="F113" s="12">
        <v>99.95</v>
      </c>
      <c r="G113" s="12">
        <v>1.8942099999999999</v>
      </c>
      <c r="H113" s="14">
        <v>3740040000</v>
      </c>
      <c r="I113" s="12">
        <v>1.18</v>
      </c>
      <c r="J113" s="12">
        <v>2888060</v>
      </c>
      <c r="K113" s="12">
        <v>4.1840000000000002</v>
      </c>
      <c r="L113" s="12">
        <v>1880920</v>
      </c>
      <c r="M113" s="12">
        <v>5.0782999999999996</v>
      </c>
      <c r="N113" s="12">
        <v>86.21</v>
      </c>
      <c r="O113" s="12">
        <v>99.6023</v>
      </c>
      <c r="P113" s="12">
        <v>75.12</v>
      </c>
      <c r="Q113" s="12">
        <v>0</v>
      </c>
      <c r="R113" s="12">
        <v>68.936000000000007</v>
      </c>
      <c r="S113" s="12">
        <v>87.724199999999996</v>
      </c>
      <c r="T113" s="12">
        <v>143.048</v>
      </c>
      <c r="U113" s="12">
        <v>4.58</v>
      </c>
      <c r="V113" s="12"/>
      <c r="W113" s="12"/>
      <c r="X113" s="12">
        <v>31.064</v>
      </c>
      <c r="Y113" s="12">
        <v>14.706</v>
      </c>
      <c r="Z113" s="11">
        <f t="shared" si="1"/>
        <v>19</v>
      </c>
    </row>
    <row r="114" spans="1:26" x14ac:dyDescent="0.2">
      <c r="A114" s="2">
        <v>113</v>
      </c>
      <c r="B114" s="10" t="s">
        <v>322</v>
      </c>
      <c r="C114" s="11" t="s">
        <v>114</v>
      </c>
      <c r="D114" s="11" t="s">
        <v>431</v>
      </c>
      <c r="E114" s="12">
        <v>4.0229999999999997</v>
      </c>
      <c r="F114" s="12"/>
      <c r="G114" s="12">
        <v>9.9742999999999995</v>
      </c>
      <c r="H114" s="12">
        <v>801170000</v>
      </c>
      <c r="I114" s="12">
        <v>1.25</v>
      </c>
      <c r="J114" s="12">
        <v>677717</v>
      </c>
      <c r="K114" s="12">
        <v>12.457000000000001</v>
      </c>
      <c r="L114" s="12">
        <v>465906</v>
      </c>
      <c r="M114" s="12">
        <v>2.0178099999999999</v>
      </c>
      <c r="N114" s="12">
        <v>57.1</v>
      </c>
      <c r="O114" s="12">
        <v>98.358900000000006</v>
      </c>
      <c r="P114" s="12">
        <v>82.23</v>
      </c>
      <c r="Q114" s="12">
        <v>0</v>
      </c>
      <c r="R114" s="12">
        <v>92.266000000000005</v>
      </c>
      <c r="S114" s="12">
        <v>98.242000000000004</v>
      </c>
      <c r="T114" s="12">
        <v>398.22800000000001</v>
      </c>
      <c r="U114" s="12">
        <v>5.23</v>
      </c>
      <c r="V114" s="12"/>
      <c r="W114" s="12"/>
      <c r="X114" s="12">
        <v>7.734</v>
      </c>
      <c r="Y114" s="12">
        <v>15.777200000000001</v>
      </c>
      <c r="Z114" s="11">
        <f t="shared" si="1"/>
        <v>18</v>
      </c>
    </row>
    <row r="115" spans="1:26" x14ac:dyDescent="0.2">
      <c r="A115" s="2">
        <v>114</v>
      </c>
      <c r="B115" s="10" t="s">
        <v>324</v>
      </c>
      <c r="C115" s="11" t="s">
        <v>116</v>
      </c>
      <c r="D115" s="11" t="s">
        <v>437</v>
      </c>
      <c r="E115" s="12">
        <v>0.46500000000000002</v>
      </c>
      <c r="F115" s="12">
        <v>99.79</v>
      </c>
      <c r="G115" s="12"/>
      <c r="H115" s="12">
        <v>0</v>
      </c>
      <c r="I115" s="12">
        <v>0.58599999999999997</v>
      </c>
      <c r="J115" s="12">
        <v>687000</v>
      </c>
      <c r="K115" s="12"/>
      <c r="L115" s="12">
        <v>493413</v>
      </c>
      <c r="M115" s="12">
        <v>5.8234500000000002</v>
      </c>
      <c r="N115" s="12"/>
      <c r="O115" s="12">
        <v>96.415499999999994</v>
      </c>
      <c r="P115" s="12"/>
      <c r="Q115" s="12">
        <v>0</v>
      </c>
      <c r="R115" s="12">
        <v>100</v>
      </c>
      <c r="S115" s="12"/>
      <c r="T115" s="12">
        <v>135.12100000000001</v>
      </c>
      <c r="U115" s="12"/>
      <c r="V115" s="12">
        <v>3.98773</v>
      </c>
      <c r="W115" s="12">
        <v>2.8368799999999998</v>
      </c>
      <c r="X115" s="12">
        <v>0</v>
      </c>
      <c r="Y115" s="12">
        <v>13.9101</v>
      </c>
      <c r="Z115" s="11">
        <f t="shared" si="1"/>
        <v>15</v>
      </c>
    </row>
    <row r="116" spans="1:26" x14ac:dyDescent="0.2">
      <c r="A116" s="2">
        <v>115</v>
      </c>
      <c r="B116" s="10" t="s">
        <v>328</v>
      </c>
      <c r="C116" s="11" t="s">
        <v>121</v>
      </c>
      <c r="D116" s="13" t="s">
        <v>432</v>
      </c>
      <c r="E116" s="12">
        <v>129.80199999999999</v>
      </c>
      <c r="F116" s="12">
        <v>80.73</v>
      </c>
      <c r="G116" s="12"/>
      <c r="H116" s="12">
        <v>3982230</v>
      </c>
      <c r="I116" s="12">
        <v>3.972</v>
      </c>
      <c r="J116" s="12">
        <v>31965000</v>
      </c>
      <c r="K116" s="12">
        <v>9.7269499999999995E-2</v>
      </c>
      <c r="L116" s="12">
        <v>18328100</v>
      </c>
      <c r="M116" s="12">
        <v>2.6087799999999999</v>
      </c>
      <c r="N116" s="12">
        <v>38.15</v>
      </c>
      <c r="O116" s="12">
        <v>96.865600000000001</v>
      </c>
      <c r="P116" s="12">
        <v>65.48</v>
      </c>
      <c r="Q116" s="12">
        <v>9.4682499999999994</v>
      </c>
      <c r="R116" s="12">
        <v>41.231000000000002</v>
      </c>
      <c r="S116" s="12"/>
      <c r="T116" s="12">
        <v>54.971400000000003</v>
      </c>
      <c r="U116" s="12">
        <v>3.4</v>
      </c>
      <c r="V116" s="12">
        <v>53.069000000000003</v>
      </c>
      <c r="W116" s="12"/>
      <c r="X116" s="12">
        <v>58.768999999999998</v>
      </c>
      <c r="Y116" s="12">
        <v>39.256900000000002</v>
      </c>
      <c r="Z116" s="11">
        <f t="shared" si="1"/>
        <v>18</v>
      </c>
    </row>
    <row r="117" spans="1:26" x14ac:dyDescent="0.2">
      <c r="A117" s="2">
        <v>116</v>
      </c>
      <c r="B117" s="10" t="s">
        <v>338</v>
      </c>
      <c r="C117" s="11" t="s">
        <v>133</v>
      </c>
      <c r="D117" s="13" t="s">
        <v>432</v>
      </c>
      <c r="E117" s="12">
        <v>113.577</v>
      </c>
      <c r="F117" s="12">
        <v>76.790000000000006</v>
      </c>
      <c r="G117" s="12">
        <v>0.53485199999999999</v>
      </c>
      <c r="H117" s="12">
        <v>4133310</v>
      </c>
      <c r="I117" s="12">
        <v>3.6480000000000001</v>
      </c>
      <c r="J117" s="12">
        <v>21655300</v>
      </c>
      <c r="K117" s="12">
        <v>8.4636199999999995E-2</v>
      </c>
      <c r="L117" s="12">
        <v>12280400</v>
      </c>
      <c r="M117" s="12">
        <v>3.5276700000000001</v>
      </c>
      <c r="N117" s="12">
        <v>21.03</v>
      </c>
      <c r="O117" s="12">
        <v>98.227800000000002</v>
      </c>
      <c r="P117" s="12">
        <v>63.8</v>
      </c>
      <c r="Q117" s="12">
        <v>38.036999999999999</v>
      </c>
      <c r="R117" s="12">
        <v>18.597999999999999</v>
      </c>
      <c r="S117" s="12">
        <v>24.4056</v>
      </c>
      <c r="T117" s="12"/>
      <c r="U117" s="12">
        <v>3.11</v>
      </c>
      <c r="V117" s="12">
        <v>35.788899999999998</v>
      </c>
      <c r="W117" s="12"/>
      <c r="X117" s="12">
        <v>81.402000000000001</v>
      </c>
      <c r="Y117" s="12">
        <v>40.705599999999997</v>
      </c>
      <c r="Z117" s="11">
        <f t="shared" si="1"/>
        <v>19</v>
      </c>
    </row>
    <row r="118" spans="1:26" x14ac:dyDescent="0.2">
      <c r="A118" s="2">
        <v>117</v>
      </c>
      <c r="B118" s="10" t="s">
        <v>339</v>
      </c>
      <c r="C118" s="11" t="s">
        <v>134</v>
      </c>
      <c r="D118" s="11" t="s">
        <v>437</v>
      </c>
      <c r="E118" s="12">
        <v>5.9619999999999997</v>
      </c>
      <c r="F118" s="12">
        <v>95.563900000000004</v>
      </c>
      <c r="G118" s="12">
        <v>8.0716400000000004</v>
      </c>
      <c r="H118" s="12">
        <v>127032000000</v>
      </c>
      <c r="I118" s="12">
        <v>1.55</v>
      </c>
      <c r="J118" s="12">
        <v>35557700</v>
      </c>
      <c r="K118" s="12">
        <v>7.3837200000000003</v>
      </c>
      <c r="L118" s="12">
        <v>25059500</v>
      </c>
      <c r="M118" s="12">
        <v>2.78972</v>
      </c>
      <c r="N118" s="12">
        <v>888.36</v>
      </c>
      <c r="O118" s="12">
        <v>99.516599999999997</v>
      </c>
      <c r="P118" s="12">
        <v>74.88</v>
      </c>
      <c r="Q118" s="12">
        <v>27.954999999999998</v>
      </c>
      <c r="R118" s="12">
        <v>79.200999999999993</v>
      </c>
      <c r="S118" s="12">
        <v>97.398600000000002</v>
      </c>
      <c r="T118" s="12">
        <v>137.36600000000001</v>
      </c>
      <c r="U118" s="12">
        <v>5.17</v>
      </c>
      <c r="V118" s="12"/>
      <c r="W118" s="12">
        <v>17.775099999999998</v>
      </c>
      <c r="X118" s="12">
        <v>20.798999999999999</v>
      </c>
      <c r="Y118" s="12">
        <v>21.7864</v>
      </c>
      <c r="Z118" s="11">
        <f t="shared" si="1"/>
        <v>20</v>
      </c>
    </row>
    <row r="119" spans="1:26" x14ac:dyDescent="0.2">
      <c r="A119" s="2">
        <v>118</v>
      </c>
      <c r="B119" s="10" t="s">
        <v>329</v>
      </c>
      <c r="C119" s="11" t="s">
        <v>122</v>
      </c>
      <c r="D119" s="11" t="s">
        <v>437</v>
      </c>
      <c r="E119" s="12">
        <v>5.4249999999999998</v>
      </c>
      <c r="F119" s="12">
        <v>99.43</v>
      </c>
      <c r="G119" s="12"/>
      <c r="H119" s="12">
        <v>646</v>
      </c>
      <c r="I119" s="12">
        <v>1.575</v>
      </c>
      <c r="J119" s="12">
        <v>527799</v>
      </c>
      <c r="K119" s="12">
        <v>2.82639</v>
      </c>
      <c r="L119" s="12">
        <v>399901</v>
      </c>
      <c r="M119" s="12">
        <v>4.3293499999999998</v>
      </c>
      <c r="N119" s="12"/>
      <c r="O119" s="12">
        <v>95.425799999999995</v>
      </c>
      <c r="P119" s="12"/>
      <c r="Q119" s="12">
        <v>18.185199999999998</v>
      </c>
      <c r="R119" s="12">
        <v>42.406999999999996</v>
      </c>
      <c r="S119" s="12"/>
      <c r="T119" s="12">
        <v>150.03200000000001</v>
      </c>
      <c r="U119" s="12"/>
      <c r="V119" s="12">
        <v>0</v>
      </c>
      <c r="W119" s="12">
        <v>4.8732899999999999</v>
      </c>
      <c r="X119" s="12">
        <v>57.593000000000004</v>
      </c>
      <c r="Y119" s="12">
        <v>19.591999999999999</v>
      </c>
      <c r="Z119" s="11">
        <f t="shared" si="1"/>
        <v>16</v>
      </c>
    </row>
    <row r="120" spans="1:26" x14ac:dyDescent="0.2">
      <c r="A120" s="2">
        <v>119</v>
      </c>
      <c r="B120" s="10" t="s">
        <v>331</v>
      </c>
      <c r="C120" s="11" t="s">
        <v>125</v>
      </c>
      <c r="D120" s="11" t="s">
        <v>434</v>
      </c>
      <c r="E120" s="12">
        <v>138.56399999999999</v>
      </c>
      <c r="F120" s="12">
        <v>46.157299999999999</v>
      </c>
      <c r="G120" s="12">
        <v>0.62080500000000005</v>
      </c>
      <c r="H120" s="12">
        <v>11053700</v>
      </c>
      <c r="I120" s="12">
        <v>5.6139999999999999</v>
      </c>
      <c r="J120" s="12">
        <v>24478600</v>
      </c>
      <c r="K120" s="12">
        <v>0.19556599999999999</v>
      </c>
      <c r="L120" s="12">
        <v>12600000</v>
      </c>
      <c r="M120" s="12">
        <v>4.1933600000000002</v>
      </c>
      <c r="N120" s="12">
        <v>39.29</v>
      </c>
      <c r="O120" s="12">
        <v>58.941400000000002</v>
      </c>
      <c r="P120" s="12">
        <v>58.46</v>
      </c>
      <c r="Q120" s="12">
        <v>24.6614</v>
      </c>
      <c r="R120" s="12">
        <v>46.933999999999997</v>
      </c>
      <c r="S120" s="12">
        <v>34.49</v>
      </c>
      <c r="T120" s="12">
        <v>50.900300000000001</v>
      </c>
      <c r="U120" s="12">
        <v>3.33</v>
      </c>
      <c r="V120" s="12">
        <v>65.779200000000003</v>
      </c>
      <c r="W120" s="12"/>
      <c r="X120" s="12">
        <v>53.066000000000003</v>
      </c>
      <c r="Y120" s="12">
        <v>46.142299999999999</v>
      </c>
      <c r="Z120" s="11">
        <f t="shared" si="1"/>
        <v>20</v>
      </c>
    </row>
    <row r="121" spans="1:26" x14ac:dyDescent="0.2">
      <c r="A121" s="2">
        <v>120</v>
      </c>
      <c r="B121" s="10" t="s">
        <v>332</v>
      </c>
      <c r="C121" s="11" t="s">
        <v>126</v>
      </c>
      <c r="D121" s="13" t="s">
        <v>435</v>
      </c>
      <c r="E121" s="12">
        <v>10.398</v>
      </c>
      <c r="F121" s="12">
        <v>99.45</v>
      </c>
      <c r="G121" s="12">
        <v>21.147300000000001</v>
      </c>
      <c r="H121" s="12">
        <v>1234230000</v>
      </c>
      <c r="I121" s="12">
        <v>1.06</v>
      </c>
      <c r="J121" s="12">
        <v>574346</v>
      </c>
      <c r="K121" s="12">
        <v>3.1255600000000001</v>
      </c>
      <c r="L121" s="12">
        <v>383417</v>
      </c>
      <c r="M121" s="12">
        <v>2.7847499999999998</v>
      </c>
      <c r="N121" s="12">
        <v>18.93</v>
      </c>
      <c r="O121" s="12">
        <v>99.553200000000004</v>
      </c>
      <c r="P121" s="12">
        <v>81.95</v>
      </c>
      <c r="Q121" s="12">
        <v>0</v>
      </c>
      <c r="R121" s="12">
        <v>95.006</v>
      </c>
      <c r="S121" s="12">
        <v>91.540800000000004</v>
      </c>
      <c r="T121" s="12">
        <v>229.548</v>
      </c>
      <c r="U121" s="12">
        <v>4.6500000000000004</v>
      </c>
      <c r="V121" s="12"/>
      <c r="W121" s="12"/>
      <c r="X121" s="12">
        <v>4.9939999999999998</v>
      </c>
      <c r="Y121" s="12">
        <v>13.0305</v>
      </c>
      <c r="Z121" s="11">
        <f t="shared" si="1"/>
        <v>19</v>
      </c>
    </row>
    <row r="122" spans="1:26" x14ac:dyDescent="0.2">
      <c r="A122" s="2">
        <v>121</v>
      </c>
      <c r="B122" s="10" t="s">
        <v>419</v>
      </c>
      <c r="C122" s="11" t="s">
        <v>123</v>
      </c>
      <c r="D122" s="13" t="s">
        <v>438</v>
      </c>
      <c r="E122" s="12">
        <v>71.838999999999999</v>
      </c>
      <c r="F122" s="12">
        <v>98.458799999999997</v>
      </c>
      <c r="G122" s="12"/>
      <c r="H122" s="12"/>
      <c r="I122" s="12">
        <v>2.919</v>
      </c>
      <c r="J122" s="12">
        <v>37548</v>
      </c>
      <c r="K122" s="12">
        <v>2.5337999999999998</v>
      </c>
      <c r="L122" s="12">
        <v>22861</v>
      </c>
      <c r="M122" s="12">
        <v>17.971399999999999</v>
      </c>
      <c r="N122" s="12"/>
      <c r="O122" s="12">
        <v>74.527799999999999</v>
      </c>
      <c r="P122" s="12"/>
      <c r="Q122" s="12">
        <v>0</v>
      </c>
      <c r="R122" s="12">
        <v>79.207999999999998</v>
      </c>
      <c r="S122" s="12"/>
      <c r="T122" s="12">
        <v>110.172</v>
      </c>
      <c r="U122" s="12"/>
      <c r="V122" s="12"/>
      <c r="W122" s="12"/>
      <c r="X122" s="12">
        <v>20.792000000000002</v>
      </c>
      <c r="Y122" s="12">
        <v>34.474499999999999</v>
      </c>
      <c r="Z122" s="11">
        <f t="shared" si="1"/>
        <v>13</v>
      </c>
    </row>
    <row r="123" spans="1:26" x14ac:dyDescent="0.2">
      <c r="A123" s="2">
        <v>122</v>
      </c>
      <c r="B123" s="10" t="s">
        <v>336</v>
      </c>
      <c r="C123" s="11" t="s">
        <v>131</v>
      </c>
      <c r="D123" s="13" t="s">
        <v>435</v>
      </c>
      <c r="E123" s="12">
        <v>88.903000000000006</v>
      </c>
      <c r="F123" s="12">
        <v>76.489999999999995</v>
      </c>
      <c r="G123" s="12"/>
      <c r="H123" s="12">
        <v>3637890</v>
      </c>
      <c r="I123" s="12">
        <v>4.6970000000000001</v>
      </c>
      <c r="J123" s="12">
        <v>5169400</v>
      </c>
      <c r="K123" s="12">
        <v>0.85517600000000005</v>
      </c>
      <c r="L123" s="12">
        <v>2794590</v>
      </c>
      <c r="M123" s="12">
        <v>0.952461</v>
      </c>
      <c r="N123" s="12">
        <v>16.12</v>
      </c>
      <c r="O123" s="12">
        <v>80.308899999999994</v>
      </c>
      <c r="P123" s="12">
        <v>63.2</v>
      </c>
      <c r="Q123" s="12">
        <v>14.357100000000001</v>
      </c>
      <c r="R123" s="12">
        <v>58.457999999999998</v>
      </c>
      <c r="S123" s="12"/>
      <c r="T123" s="12">
        <v>91.470600000000005</v>
      </c>
      <c r="U123" s="12">
        <v>3.09</v>
      </c>
      <c r="V123" s="12"/>
      <c r="W123" s="12"/>
      <c r="X123" s="12">
        <v>41.542000000000002</v>
      </c>
      <c r="Y123" s="12">
        <v>42.711199999999998</v>
      </c>
      <c r="Z123" s="11">
        <f t="shared" si="1"/>
        <v>17</v>
      </c>
    </row>
    <row r="124" spans="1:26" x14ac:dyDescent="0.2">
      <c r="A124" s="2">
        <v>123</v>
      </c>
      <c r="B124" s="10" t="s">
        <v>337</v>
      </c>
      <c r="C124" s="11" t="s">
        <v>132</v>
      </c>
      <c r="D124" s="13" t="s">
        <v>432</v>
      </c>
      <c r="E124" s="12">
        <v>19.768000000000001</v>
      </c>
      <c r="F124" s="12">
        <v>99.3</v>
      </c>
      <c r="G124" s="12">
        <v>8.9891400000000008</v>
      </c>
      <c r="H124" s="12">
        <v>6408560</v>
      </c>
      <c r="I124" s="12">
        <v>1.39</v>
      </c>
      <c r="J124" s="12">
        <v>1259510</v>
      </c>
      <c r="K124" s="12">
        <v>2.93851</v>
      </c>
      <c r="L124" s="12">
        <v>902605</v>
      </c>
      <c r="M124" s="12">
        <v>4.2895000000000003</v>
      </c>
      <c r="N124" s="12">
        <v>26.67</v>
      </c>
      <c r="O124" s="12">
        <v>94.9923</v>
      </c>
      <c r="P124" s="12">
        <v>74.349999999999994</v>
      </c>
      <c r="Q124" s="12">
        <v>0</v>
      </c>
      <c r="R124" s="12">
        <v>40.944000000000003</v>
      </c>
      <c r="S124" s="12">
        <v>67.58</v>
      </c>
      <c r="T124" s="12">
        <v>103.998</v>
      </c>
      <c r="U124" s="12">
        <v>4.5199999999999996</v>
      </c>
      <c r="V124" s="12">
        <v>18.428699999999999</v>
      </c>
      <c r="W124" s="12"/>
      <c r="X124" s="12">
        <v>59.055999999999997</v>
      </c>
      <c r="Y124" s="12">
        <v>14.8109</v>
      </c>
      <c r="Z124" s="11">
        <f t="shared" si="1"/>
        <v>20</v>
      </c>
    </row>
    <row r="125" spans="1:26" x14ac:dyDescent="0.2">
      <c r="A125" s="2">
        <v>124</v>
      </c>
      <c r="B125" s="10" t="s">
        <v>499</v>
      </c>
      <c r="C125" s="11" t="s">
        <v>500</v>
      </c>
      <c r="D125" s="11" t="s">
        <v>517</v>
      </c>
      <c r="E125" s="12">
        <v>60.098999999999997</v>
      </c>
      <c r="F125" s="12">
        <v>98.96</v>
      </c>
      <c r="G125" s="12">
        <v>35.615900000000003</v>
      </c>
      <c r="H125" s="12">
        <v>81456700000</v>
      </c>
      <c r="I125" s="12">
        <v>1.91</v>
      </c>
      <c r="J125" s="12">
        <v>130861000</v>
      </c>
      <c r="K125" s="12">
        <v>3.0407700000000002</v>
      </c>
      <c r="L125" s="12">
        <v>87993500</v>
      </c>
      <c r="M125" s="12">
        <v>1.0105</v>
      </c>
      <c r="N125" s="12">
        <v>2284.3000000000002</v>
      </c>
      <c r="O125" s="12">
        <v>99.169499999999999</v>
      </c>
      <c r="P125" s="12">
        <v>76.92</v>
      </c>
      <c r="Q125" s="12">
        <v>74.962999999999994</v>
      </c>
      <c r="R125" s="12">
        <v>81.861999999999995</v>
      </c>
      <c r="S125" s="12">
        <v>75.626499999999993</v>
      </c>
      <c r="T125" s="12">
        <v>74.711600000000004</v>
      </c>
      <c r="U125" s="12">
        <v>4.4400000000000004</v>
      </c>
      <c r="V125" s="12"/>
      <c r="W125" s="12">
        <v>21.637699999999999</v>
      </c>
      <c r="X125" s="12">
        <v>18.138000000000002</v>
      </c>
      <c r="Y125" s="12">
        <v>24.509499999999999</v>
      </c>
      <c r="Z125" s="11">
        <f t="shared" si="1"/>
        <v>20</v>
      </c>
    </row>
    <row r="126" spans="1:26" x14ac:dyDescent="0.2">
      <c r="A126" s="2">
        <v>125</v>
      </c>
      <c r="B126" s="10" t="s">
        <v>421</v>
      </c>
      <c r="C126" s="11" t="s">
        <v>67</v>
      </c>
      <c r="D126" s="13" t="s">
        <v>438</v>
      </c>
      <c r="E126" s="12">
        <v>43.719000000000001</v>
      </c>
      <c r="F126" s="12"/>
      <c r="G126" s="12"/>
      <c r="H126" s="12"/>
      <c r="I126" s="12">
        <v>2.7480000000000002</v>
      </c>
      <c r="J126" s="12">
        <v>113160</v>
      </c>
      <c r="K126" s="12">
        <v>0.95891400000000004</v>
      </c>
      <c r="L126" s="12">
        <v>70388</v>
      </c>
      <c r="M126" s="12">
        <v>12.5398</v>
      </c>
      <c r="N126" s="12"/>
      <c r="O126" s="12">
        <v>85.456999999999994</v>
      </c>
      <c r="P126" s="12"/>
      <c r="Q126" s="12">
        <v>0</v>
      </c>
      <c r="R126" s="12">
        <v>23.555</v>
      </c>
      <c r="S126" s="12"/>
      <c r="T126" s="12">
        <v>96.600700000000003</v>
      </c>
      <c r="U126" s="12"/>
      <c r="V126" s="12"/>
      <c r="W126" s="12"/>
      <c r="X126" s="12">
        <v>76.444999999999993</v>
      </c>
      <c r="Y126" s="12">
        <v>31.848099999999999</v>
      </c>
      <c r="Z126" s="11">
        <f t="shared" si="1"/>
        <v>12</v>
      </c>
    </row>
    <row r="127" spans="1:26" x14ac:dyDescent="0.2">
      <c r="A127" s="2">
        <v>126</v>
      </c>
      <c r="B127" s="10" t="s">
        <v>418</v>
      </c>
      <c r="C127" s="11" t="s">
        <v>120</v>
      </c>
      <c r="D127" s="11" t="s">
        <v>436</v>
      </c>
      <c r="E127" s="12">
        <v>23.04</v>
      </c>
      <c r="F127" s="12">
        <v>99.7</v>
      </c>
      <c r="G127" s="12">
        <v>0.36948500000000001</v>
      </c>
      <c r="H127" s="14">
        <v>28885000</v>
      </c>
      <c r="I127" s="12">
        <v>1.7310000000000001</v>
      </c>
      <c r="J127" s="12">
        <v>2389280</v>
      </c>
      <c r="K127" s="12">
        <v>3.2678500000000001</v>
      </c>
      <c r="L127" s="12">
        <v>1529130</v>
      </c>
      <c r="M127" s="12">
        <v>5.1196099999999998</v>
      </c>
      <c r="N127" s="12">
        <v>23.01</v>
      </c>
      <c r="O127" s="12">
        <v>89.786600000000007</v>
      </c>
      <c r="P127" s="12">
        <v>71.63</v>
      </c>
      <c r="Q127" s="12">
        <v>24.745999999999999</v>
      </c>
      <c r="R127" s="12">
        <v>43.598999999999997</v>
      </c>
      <c r="S127" s="12">
        <v>61.287799999999997</v>
      </c>
      <c r="T127" s="12">
        <v>88.6661</v>
      </c>
      <c r="U127" s="12">
        <v>3.99</v>
      </c>
      <c r="V127" s="12"/>
      <c r="W127" s="12"/>
      <c r="X127" s="12">
        <v>56.401000000000003</v>
      </c>
      <c r="Y127" s="12">
        <v>19.788699999999999</v>
      </c>
      <c r="Z127" s="11">
        <f t="shared" si="1"/>
        <v>19</v>
      </c>
    </row>
    <row r="128" spans="1:26" x14ac:dyDescent="0.2">
      <c r="A128" s="2">
        <v>127</v>
      </c>
      <c r="B128" s="10" t="s">
        <v>327</v>
      </c>
      <c r="C128" s="11" t="s">
        <v>119</v>
      </c>
      <c r="D128" s="13" t="s">
        <v>435</v>
      </c>
      <c r="E128" s="12">
        <v>9.69</v>
      </c>
      <c r="F128" s="12"/>
      <c r="G128" s="12"/>
      <c r="H128" s="12"/>
      <c r="I128" s="12">
        <v>2.11</v>
      </c>
      <c r="J128" s="12">
        <v>38631</v>
      </c>
      <c r="K128" s="12"/>
      <c r="L128" s="12">
        <v>19455</v>
      </c>
      <c r="M128" s="12"/>
      <c r="N128" s="12"/>
      <c r="O128" s="12"/>
      <c r="P128" s="12"/>
      <c r="Q128" s="12">
        <v>0</v>
      </c>
      <c r="R128" s="12">
        <v>100</v>
      </c>
      <c r="S128" s="12"/>
      <c r="T128" s="12"/>
      <c r="U128" s="12"/>
      <c r="V128" s="12"/>
      <c r="W128" s="12"/>
      <c r="X128" s="12">
        <v>0</v>
      </c>
      <c r="Y128" s="12">
        <v>13.472300000000001</v>
      </c>
      <c r="Z128" s="11">
        <f t="shared" si="1"/>
        <v>8</v>
      </c>
    </row>
    <row r="129" spans="1:26" x14ac:dyDescent="0.2">
      <c r="A129" s="2">
        <v>128</v>
      </c>
      <c r="B129" s="10" t="s">
        <v>334</v>
      </c>
      <c r="C129" s="11" t="s">
        <v>128</v>
      </c>
      <c r="D129" s="11" t="s">
        <v>437</v>
      </c>
      <c r="E129" s="12">
        <v>19.739000000000001</v>
      </c>
      <c r="F129" s="12">
        <v>99.074299999999994</v>
      </c>
      <c r="G129" s="12">
        <v>9.1109100000000005</v>
      </c>
      <c r="H129" s="12">
        <v>51137800</v>
      </c>
      <c r="I129" s="12">
        <v>2.7</v>
      </c>
      <c r="J129" s="12">
        <v>3524790</v>
      </c>
      <c r="K129" s="12">
        <v>6.43065</v>
      </c>
      <c r="L129" s="12">
        <v>2208950</v>
      </c>
      <c r="M129" s="12">
        <v>7.80626</v>
      </c>
      <c r="N129" s="12">
        <v>38.700000000000003</v>
      </c>
      <c r="O129" s="12">
        <v>98.692999999999998</v>
      </c>
      <c r="P129" s="12">
        <v>69.819999999999993</v>
      </c>
      <c r="Q129" s="12">
        <v>9.7777799999999999</v>
      </c>
      <c r="R129" s="12">
        <v>69.263000000000005</v>
      </c>
      <c r="S129" s="12">
        <v>81.606800000000007</v>
      </c>
      <c r="T129" s="12">
        <v>138.89099999999999</v>
      </c>
      <c r="U129" s="12">
        <v>3.9</v>
      </c>
      <c r="V129" s="12"/>
      <c r="W129" s="12">
        <v>8.4656099999999999</v>
      </c>
      <c r="X129" s="12">
        <v>30.736999999999998</v>
      </c>
      <c r="Y129" s="12">
        <v>32.193300000000001</v>
      </c>
      <c r="Z129" s="11">
        <f t="shared" si="1"/>
        <v>20</v>
      </c>
    </row>
    <row r="130" spans="1:26" x14ac:dyDescent="0.2">
      <c r="A130" s="2">
        <v>129</v>
      </c>
      <c r="B130" s="10" t="s">
        <v>333</v>
      </c>
      <c r="C130" s="11" t="s">
        <v>127</v>
      </c>
      <c r="D130" s="13" t="s">
        <v>435</v>
      </c>
      <c r="E130" s="12">
        <v>9.375</v>
      </c>
      <c r="F130" s="12">
        <v>99.05</v>
      </c>
      <c r="G130" s="12">
        <v>9.0920100000000001</v>
      </c>
      <c r="H130" s="12">
        <v>15199400</v>
      </c>
      <c r="I130" s="12">
        <v>1.74</v>
      </c>
      <c r="J130" s="12">
        <v>623831</v>
      </c>
      <c r="K130" s="12">
        <v>4.0675600000000003</v>
      </c>
      <c r="L130" s="12">
        <v>399508</v>
      </c>
      <c r="M130" s="12">
        <v>1.3029299999999999</v>
      </c>
      <c r="N130" s="12">
        <v>10.56</v>
      </c>
      <c r="O130" s="12">
        <v>96.870900000000006</v>
      </c>
      <c r="P130" s="12">
        <v>76.34</v>
      </c>
      <c r="Q130" s="12">
        <v>42.788400000000003</v>
      </c>
      <c r="R130" s="12">
        <v>68.84</v>
      </c>
      <c r="S130" s="12">
        <v>88.221900000000005</v>
      </c>
      <c r="T130" s="12">
        <v>112.423</v>
      </c>
      <c r="U130" s="12">
        <v>4.1500000000000004</v>
      </c>
      <c r="V130" s="12"/>
      <c r="W130" s="12"/>
      <c r="X130" s="12">
        <v>31.16</v>
      </c>
      <c r="Y130" s="12">
        <v>18.126799999999999</v>
      </c>
      <c r="Z130" s="11">
        <f t="shared" ref="Z130:Z193" si="2">COUNT(E130:Y130)</f>
        <v>19</v>
      </c>
    </row>
    <row r="131" spans="1:26" x14ac:dyDescent="0.2">
      <c r="A131" s="2">
        <v>130</v>
      </c>
      <c r="B131" s="10" t="s">
        <v>326</v>
      </c>
      <c r="C131" s="11" t="s">
        <v>118</v>
      </c>
      <c r="D131" s="13" t="s">
        <v>435</v>
      </c>
      <c r="E131" s="12">
        <v>25.103000000000002</v>
      </c>
      <c r="F131" s="12">
        <v>98.52</v>
      </c>
      <c r="G131" s="12">
        <v>14.7905</v>
      </c>
      <c r="H131" s="12">
        <v>1723700000</v>
      </c>
      <c r="I131" s="12">
        <v>2.23</v>
      </c>
      <c r="J131" s="12">
        <v>38081200</v>
      </c>
      <c r="K131" s="12">
        <v>1.81853</v>
      </c>
      <c r="L131" s="12">
        <v>25220600</v>
      </c>
      <c r="M131" s="12">
        <v>3.25508</v>
      </c>
      <c r="N131" s="12">
        <v>279.64999999999998</v>
      </c>
      <c r="O131" s="12">
        <v>99.155900000000003</v>
      </c>
      <c r="P131" s="12">
        <v>74.290000000000006</v>
      </c>
      <c r="Q131" s="12">
        <v>41.171999999999997</v>
      </c>
      <c r="R131" s="12">
        <v>65.643000000000001</v>
      </c>
      <c r="S131" s="12">
        <v>88.130300000000005</v>
      </c>
      <c r="T131" s="12">
        <v>95.7577</v>
      </c>
      <c r="U131" s="12">
        <v>4.24</v>
      </c>
      <c r="V131" s="12">
        <v>17.541699999999999</v>
      </c>
      <c r="W131" s="12">
        <v>37.5</v>
      </c>
      <c r="X131" s="12">
        <v>34.356999999999999</v>
      </c>
      <c r="Y131" s="12">
        <v>25.632899999999999</v>
      </c>
      <c r="Z131" s="11">
        <f t="shared" si="2"/>
        <v>21</v>
      </c>
    </row>
    <row r="132" spans="1:26" x14ac:dyDescent="0.2">
      <c r="A132" s="2">
        <v>131</v>
      </c>
      <c r="B132" s="10" t="s">
        <v>335</v>
      </c>
      <c r="C132" s="11" t="s">
        <v>130</v>
      </c>
      <c r="D132" s="13" t="s">
        <v>432</v>
      </c>
      <c r="E132" s="12">
        <v>153.44999999999999</v>
      </c>
      <c r="F132" s="12">
        <v>70.075599999999994</v>
      </c>
      <c r="G132" s="12"/>
      <c r="H132" s="12">
        <v>16632000</v>
      </c>
      <c r="I132" s="12">
        <v>4.7629999999999999</v>
      </c>
      <c r="J132" s="12">
        <v>34631800</v>
      </c>
      <c r="K132" s="12">
        <v>0.22276799999999999</v>
      </c>
      <c r="L132" s="12">
        <v>18274200</v>
      </c>
      <c r="M132" s="12">
        <v>1.09053</v>
      </c>
      <c r="N132" s="12">
        <v>34.83</v>
      </c>
      <c r="O132" s="12">
        <v>93.929299999999998</v>
      </c>
      <c r="P132" s="12">
        <v>55.37</v>
      </c>
      <c r="Q132" s="12">
        <v>33.5</v>
      </c>
      <c r="R132" s="12">
        <v>39.326000000000001</v>
      </c>
      <c r="S132" s="12"/>
      <c r="T132" s="12">
        <v>95.671800000000005</v>
      </c>
      <c r="U132" s="12">
        <v>2.89</v>
      </c>
      <c r="V132" s="12">
        <v>50.026600000000002</v>
      </c>
      <c r="W132" s="12"/>
      <c r="X132" s="12">
        <v>60.673999999999999</v>
      </c>
      <c r="Y132" s="12">
        <v>44.479100000000003</v>
      </c>
      <c r="Z132" s="11">
        <f t="shared" si="2"/>
        <v>18</v>
      </c>
    </row>
    <row r="133" spans="1:26" x14ac:dyDescent="0.2">
      <c r="A133" s="2">
        <v>132</v>
      </c>
      <c r="B133" s="10" t="s">
        <v>501</v>
      </c>
      <c r="C133" s="11" t="s">
        <v>502</v>
      </c>
      <c r="D133" s="11" t="s">
        <v>517</v>
      </c>
      <c r="E133" s="12">
        <v>33.506</v>
      </c>
      <c r="F133" s="12">
        <v>95.415099999999995</v>
      </c>
      <c r="G133" s="12"/>
      <c r="H133" s="12">
        <v>190414000</v>
      </c>
      <c r="I133" s="12">
        <v>2.1150000000000002</v>
      </c>
      <c r="J133" s="12">
        <v>54500100</v>
      </c>
      <c r="K133" s="12">
        <v>0.63407999999999998</v>
      </c>
      <c r="L133" s="12">
        <v>37275400</v>
      </c>
      <c r="M133" s="12">
        <v>1.23299</v>
      </c>
      <c r="N133" s="12"/>
      <c r="O133" s="12">
        <v>98.052800000000005</v>
      </c>
      <c r="P133" s="12">
        <v>65.099999999999994</v>
      </c>
      <c r="Q133" s="12">
        <v>14.962999999999999</v>
      </c>
      <c r="R133" s="12">
        <v>32.47</v>
      </c>
      <c r="S133" s="12"/>
      <c r="T133" s="12"/>
      <c r="U133" s="12">
        <v>3.32</v>
      </c>
      <c r="V133" s="12"/>
      <c r="W133" s="12">
        <v>2.3278400000000001</v>
      </c>
      <c r="X133" s="12">
        <v>67.53</v>
      </c>
      <c r="Y133" s="12">
        <v>24.3005</v>
      </c>
      <c r="Z133" s="11">
        <f t="shared" si="2"/>
        <v>16</v>
      </c>
    </row>
    <row r="134" spans="1:26" x14ac:dyDescent="0.2">
      <c r="A134" s="2">
        <v>133</v>
      </c>
      <c r="B134" s="10" t="s">
        <v>340</v>
      </c>
      <c r="C134" s="11" t="s">
        <v>135</v>
      </c>
      <c r="D134" s="13" t="s">
        <v>432</v>
      </c>
      <c r="E134" s="12">
        <v>66.034000000000006</v>
      </c>
      <c r="F134" s="12">
        <v>95.55</v>
      </c>
      <c r="G134" s="12">
        <v>7.45655</v>
      </c>
      <c r="H134" s="12">
        <v>845964</v>
      </c>
      <c r="I134" s="12">
        <v>3.2120000000000002</v>
      </c>
      <c r="J134" s="12">
        <v>3030130</v>
      </c>
      <c r="K134" s="12">
        <v>1.58805</v>
      </c>
      <c r="L134" s="12">
        <v>1798300</v>
      </c>
      <c r="M134" s="12">
        <v>1.5760400000000001</v>
      </c>
      <c r="N134" s="12">
        <v>24.09</v>
      </c>
      <c r="O134" s="12">
        <v>98.147800000000004</v>
      </c>
      <c r="P134" s="12">
        <v>64.92</v>
      </c>
      <c r="Q134" s="12">
        <v>0</v>
      </c>
      <c r="R134" s="12">
        <v>55.795000000000002</v>
      </c>
      <c r="S134" s="12">
        <v>52.973500000000001</v>
      </c>
      <c r="T134" s="12">
        <v>109.629</v>
      </c>
      <c r="U134" s="12">
        <v>3.99</v>
      </c>
      <c r="V134" s="12">
        <v>44.297400000000003</v>
      </c>
      <c r="W134" s="12"/>
      <c r="X134" s="12">
        <v>44.204999999999998</v>
      </c>
      <c r="Y134" s="12">
        <v>36.979700000000001</v>
      </c>
      <c r="Z134" s="11">
        <f t="shared" si="2"/>
        <v>20</v>
      </c>
    </row>
    <row r="135" spans="1:26" x14ac:dyDescent="0.2">
      <c r="A135" s="2">
        <v>134</v>
      </c>
      <c r="B135" s="10" t="s">
        <v>346</v>
      </c>
      <c r="C135" s="11" t="s">
        <v>143</v>
      </c>
      <c r="D135" s="13" t="s">
        <v>438</v>
      </c>
      <c r="E135" s="12">
        <v>76.239000000000004</v>
      </c>
      <c r="F135" s="12"/>
      <c r="G135" s="12"/>
      <c r="H135" s="12"/>
      <c r="I135" s="12">
        <v>3.331</v>
      </c>
      <c r="J135" s="12">
        <v>11947</v>
      </c>
      <c r="K135" s="12">
        <v>3.3617499999999998</v>
      </c>
      <c r="L135" s="12">
        <v>7093</v>
      </c>
      <c r="M135" s="12">
        <v>6.5437200000000004</v>
      </c>
      <c r="N135" s="12"/>
      <c r="O135" s="12">
        <v>93.962100000000007</v>
      </c>
      <c r="P135" s="12"/>
      <c r="Q135" s="12">
        <v>0</v>
      </c>
      <c r="R135" s="12">
        <v>100</v>
      </c>
      <c r="S135" s="12"/>
      <c r="T135" s="12">
        <v>158.19200000000001</v>
      </c>
      <c r="U135" s="12"/>
      <c r="V135" s="12"/>
      <c r="W135" s="12"/>
      <c r="X135" s="12">
        <v>0</v>
      </c>
      <c r="Y135" s="12">
        <v>37.776800000000001</v>
      </c>
      <c r="Z135" s="11">
        <f t="shared" si="2"/>
        <v>12</v>
      </c>
    </row>
    <row r="136" spans="1:26" x14ac:dyDescent="0.2">
      <c r="A136" s="2">
        <v>135</v>
      </c>
      <c r="B136" s="10" t="s">
        <v>345</v>
      </c>
      <c r="C136" s="11" t="s">
        <v>142</v>
      </c>
      <c r="D136" s="11" t="s">
        <v>437</v>
      </c>
      <c r="E136" s="12">
        <v>67.168999999999997</v>
      </c>
      <c r="F136" s="12">
        <v>94.18</v>
      </c>
      <c r="G136" s="12">
        <v>5.4239800000000002</v>
      </c>
      <c r="H136" s="12">
        <v>3815790</v>
      </c>
      <c r="I136" s="12">
        <v>1.984</v>
      </c>
      <c r="J136" s="12">
        <v>29651100</v>
      </c>
      <c r="K136" s="12">
        <v>0.50936599999999999</v>
      </c>
      <c r="L136" s="12">
        <v>19293200</v>
      </c>
      <c r="M136" s="12">
        <v>2.4966300000000001</v>
      </c>
      <c r="N136" s="12">
        <v>76.510000000000005</v>
      </c>
      <c r="O136" s="12">
        <v>96.298400000000001</v>
      </c>
      <c r="P136" s="12">
        <v>69.97</v>
      </c>
      <c r="Q136" s="12">
        <v>20.325399999999998</v>
      </c>
      <c r="R136" s="12">
        <v>22.366</v>
      </c>
      <c r="S136" s="12">
        <v>51.631399999999999</v>
      </c>
      <c r="T136" s="12">
        <v>40.529800000000002</v>
      </c>
      <c r="U136" s="12">
        <v>4.0199999999999996</v>
      </c>
      <c r="V136" s="12"/>
      <c r="W136" s="12"/>
      <c r="X136" s="12">
        <v>77.634</v>
      </c>
      <c r="Y136" s="12">
        <v>28.429200000000002</v>
      </c>
      <c r="Z136" s="11">
        <f t="shared" si="2"/>
        <v>19</v>
      </c>
    </row>
    <row r="137" spans="1:26" x14ac:dyDescent="0.2">
      <c r="A137" s="2">
        <v>136</v>
      </c>
      <c r="B137" s="10" t="s">
        <v>425</v>
      </c>
      <c r="C137" s="11" t="s">
        <v>140</v>
      </c>
      <c r="D137" s="11" t="s">
        <v>431</v>
      </c>
      <c r="E137" s="12">
        <v>1.8580000000000001</v>
      </c>
      <c r="F137" s="12"/>
      <c r="G137" s="12">
        <v>34.511099999999999</v>
      </c>
      <c r="H137" s="12">
        <v>110952000000</v>
      </c>
      <c r="I137" s="12">
        <v>1.43</v>
      </c>
      <c r="J137" s="12">
        <v>17994200</v>
      </c>
      <c r="K137" s="12">
        <v>7.4715499999999997</v>
      </c>
      <c r="L137" s="12">
        <v>11602400</v>
      </c>
      <c r="M137" s="12">
        <v>1.12287</v>
      </c>
      <c r="N137" s="12">
        <v>861.54</v>
      </c>
      <c r="O137" s="12">
        <v>99.028499999999994</v>
      </c>
      <c r="P137" s="12">
        <v>81.709999999999994</v>
      </c>
      <c r="Q137" s="12">
        <v>82.611099999999993</v>
      </c>
      <c r="R137" s="12">
        <v>93.453000000000003</v>
      </c>
      <c r="S137" s="12">
        <v>92.5197</v>
      </c>
      <c r="T137" s="12">
        <v>156.17400000000001</v>
      </c>
      <c r="U137" s="12">
        <v>5.66</v>
      </c>
      <c r="V137" s="12">
        <v>3.3170700000000002</v>
      </c>
      <c r="W137" s="12">
        <v>5.6</v>
      </c>
      <c r="X137" s="12">
        <v>6.5469999999999997</v>
      </c>
      <c r="Y137" s="12">
        <v>15.025600000000001</v>
      </c>
      <c r="Z137" s="11">
        <f t="shared" si="2"/>
        <v>20</v>
      </c>
    </row>
    <row r="138" spans="1:26" x14ac:dyDescent="0.2">
      <c r="A138" s="2">
        <v>137</v>
      </c>
      <c r="B138" s="10" t="s">
        <v>341</v>
      </c>
      <c r="C138" s="11" t="s">
        <v>136</v>
      </c>
      <c r="D138" s="13" t="s">
        <v>438</v>
      </c>
      <c r="E138" s="12">
        <v>12.156000000000001</v>
      </c>
      <c r="F138" s="12">
        <v>99.2</v>
      </c>
      <c r="G138" s="12"/>
      <c r="H138" s="12">
        <v>38232200</v>
      </c>
      <c r="I138" s="12">
        <v>1.98</v>
      </c>
      <c r="J138" s="12">
        <v>292639</v>
      </c>
      <c r="K138" s="12"/>
      <c r="L138" s="12">
        <v>196852</v>
      </c>
      <c r="M138" s="12">
        <v>7.4640399999999998</v>
      </c>
      <c r="N138" s="12"/>
      <c r="O138" s="12"/>
      <c r="P138" s="12"/>
      <c r="Q138" s="12">
        <v>0</v>
      </c>
      <c r="R138" s="12">
        <v>73.105999999999995</v>
      </c>
      <c r="S138" s="12"/>
      <c r="T138" s="12">
        <v>58.928199999999997</v>
      </c>
      <c r="U138" s="12"/>
      <c r="V138" s="12"/>
      <c r="W138" s="12"/>
      <c r="X138" s="12">
        <v>26.893999999999998</v>
      </c>
      <c r="Y138" s="12">
        <v>21.3062</v>
      </c>
      <c r="Z138" s="11">
        <f t="shared" si="2"/>
        <v>12</v>
      </c>
    </row>
    <row r="139" spans="1:26" x14ac:dyDescent="0.2">
      <c r="A139" s="2">
        <v>138</v>
      </c>
      <c r="B139" s="10" t="s">
        <v>347</v>
      </c>
      <c r="C139" s="11" t="s">
        <v>144</v>
      </c>
      <c r="D139" s="13" t="s">
        <v>438</v>
      </c>
      <c r="E139" s="12">
        <v>10.879</v>
      </c>
      <c r="F139" s="12"/>
      <c r="G139" s="12">
        <v>22.465499999999999</v>
      </c>
      <c r="H139" s="12">
        <v>840956000</v>
      </c>
      <c r="I139" s="12">
        <v>1.56</v>
      </c>
      <c r="J139" s="12">
        <v>5338500</v>
      </c>
      <c r="K139" s="12">
        <v>6.1608000000000001</v>
      </c>
      <c r="L139" s="12">
        <v>3453240</v>
      </c>
      <c r="M139" s="12">
        <v>7.8858499999999996</v>
      </c>
      <c r="N139" s="12">
        <v>175.85</v>
      </c>
      <c r="O139" s="12">
        <v>99.177899999999994</v>
      </c>
      <c r="P139" s="12">
        <v>81.459999999999994</v>
      </c>
      <c r="Q139" s="12">
        <v>59.240699999999997</v>
      </c>
      <c r="R139" s="12">
        <v>87.090999999999994</v>
      </c>
      <c r="S139" s="12">
        <v>95.910200000000003</v>
      </c>
      <c r="T139" s="12">
        <v>50.406399999999998</v>
      </c>
      <c r="U139" s="12">
        <v>5.37</v>
      </c>
      <c r="V139" s="12">
        <v>8.3681999999999999</v>
      </c>
      <c r="W139" s="12">
        <v>10.863200000000001</v>
      </c>
      <c r="X139" s="12">
        <v>12.909000000000001</v>
      </c>
      <c r="Y139" s="12">
        <v>18.1187</v>
      </c>
      <c r="Z139" s="11">
        <f t="shared" si="2"/>
        <v>20</v>
      </c>
    </row>
    <row r="140" spans="1:26" x14ac:dyDescent="0.2">
      <c r="A140" s="2">
        <v>139</v>
      </c>
      <c r="B140" s="10" t="s">
        <v>343</v>
      </c>
      <c r="C140" s="11" t="s">
        <v>139</v>
      </c>
      <c r="D140" s="11" t="s">
        <v>518</v>
      </c>
      <c r="E140" s="12">
        <v>93.451999999999998</v>
      </c>
      <c r="F140" s="12">
        <v>91.571799999999996</v>
      </c>
      <c r="G140" s="12">
        <v>3.68825</v>
      </c>
      <c r="H140" s="12">
        <v>22949800</v>
      </c>
      <c r="I140" s="12">
        <v>2.218</v>
      </c>
      <c r="J140" s="12">
        <v>6916140</v>
      </c>
      <c r="K140" s="12">
        <v>0.67825199999999997</v>
      </c>
      <c r="L140" s="12">
        <v>4544430</v>
      </c>
      <c r="M140" s="12">
        <v>1.7138500000000001</v>
      </c>
      <c r="N140" s="12">
        <v>31.76</v>
      </c>
      <c r="O140" s="12">
        <v>96.319699999999997</v>
      </c>
      <c r="P140" s="12">
        <v>75.099999999999994</v>
      </c>
      <c r="Q140" s="12">
        <v>35.875700000000002</v>
      </c>
      <c r="R140" s="12">
        <v>60.155000000000001</v>
      </c>
      <c r="S140" s="12">
        <v>57.146799999999999</v>
      </c>
      <c r="T140" s="12">
        <v>98.525800000000004</v>
      </c>
      <c r="U140" s="12">
        <v>3.95</v>
      </c>
      <c r="V140" s="12"/>
      <c r="W140" s="12">
        <v>7.4706599999999996</v>
      </c>
      <c r="X140" s="12">
        <v>39.844999999999999</v>
      </c>
      <c r="Y140" s="12">
        <v>28.758900000000001</v>
      </c>
      <c r="Z140" s="11">
        <f t="shared" si="2"/>
        <v>20</v>
      </c>
    </row>
    <row r="141" spans="1:26" x14ac:dyDescent="0.2">
      <c r="A141" s="2">
        <v>140</v>
      </c>
      <c r="B141" s="10" t="s">
        <v>424</v>
      </c>
      <c r="C141" s="11" t="s">
        <v>137</v>
      </c>
      <c r="D141" s="11" t="s">
        <v>434</v>
      </c>
      <c r="E141" s="12">
        <v>145.32400000000001</v>
      </c>
      <c r="F141" s="12">
        <v>48.21</v>
      </c>
      <c r="G141" s="12"/>
      <c r="H141" s="12">
        <v>2603430</v>
      </c>
      <c r="I141" s="12">
        <v>6.0609999999999999</v>
      </c>
      <c r="J141" s="12">
        <v>27032400</v>
      </c>
      <c r="K141" s="12">
        <v>9.0325600000000006E-2</v>
      </c>
      <c r="L141" s="12">
        <v>13733700</v>
      </c>
      <c r="M141" s="12">
        <v>4.25624</v>
      </c>
      <c r="N141" s="12"/>
      <c r="O141" s="12">
        <v>66.488</v>
      </c>
      <c r="P141" s="12"/>
      <c r="Q141" s="12">
        <v>16.425899999999999</v>
      </c>
      <c r="R141" s="12">
        <v>17.231999999999999</v>
      </c>
      <c r="S141" s="12"/>
      <c r="T141" s="12">
        <v>51.968400000000003</v>
      </c>
      <c r="U141" s="12"/>
      <c r="V141" s="12">
        <v>21.776399999999999</v>
      </c>
      <c r="W141" s="12"/>
      <c r="X141" s="12">
        <v>82.768000000000001</v>
      </c>
      <c r="Y141" s="12">
        <v>46.600999999999999</v>
      </c>
      <c r="Z141" s="11">
        <f t="shared" si="2"/>
        <v>15</v>
      </c>
    </row>
    <row r="142" spans="1:26" x14ac:dyDescent="0.2">
      <c r="A142" s="2">
        <v>141</v>
      </c>
      <c r="B142" s="10" t="s">
        <v>342</v>
      </c>
      <c r="C142" s="11" t="s">
        <v>138</v>
      </c>
      <c r="D142" s="11" t="s">
        <v>434</v>
      </c>
      <c r="E142" s="12">
        <v>86.432000000000002</v>
      </c>
      <c r="F142" s="12">
        <v>75.028700000000001</v>
      </c>
      <c r="G142" s="12">
        <v>2.0025300000000001</v>
      </c>
      <c r="H142" s="12">
        <v>65160200</v>
      </c>
      <c r="I142" s="12">
        <v>4.4820000000000002</v>
      </c>
      <c r="J142" s="12">
        <v>232679000</v>
      </c>
      <c r="K142" s="12">
        <v>0.53751000000000004</v>
      </c>
      <c r="L142" s="12">
        <v>130155000</v>
      </c>
      <c r="M142" s="12">
        <v>9.1620200000000001</v>
      </c>
      <c r="N142" s="12">
        <v>1038.69</v>
      </c>
      <c r="O142" s="12">
        <v>65.982900000000001</v>
      </c>
      <c r="P142" s="12">
        <v>53.05</v>
      </c>
      <c r="Q142" s="12">
        <v>32.415300000000002</v>
      </c>
      <c r="R142" s="12">
        <v>55.03</v>
      </c>
      <c r="S142" s="12">
        <v>55.363700000000001</v>
      </c>
      <c r="T142" s="12">
        <v>26.166499999999999</v>
      </c>
      <c r="U142" s="12">
        <v>3.3</v>
      </c>
      <c r="V142" s="12">
        <v>40.525799999999997</v>
      </c>
      <c r="W142" s="12">
        <v>18.511500000000002</v>
      </c>
      <c r="X142" s="12">
        <v>44.97</v>
      </c>
      <c r="Y142" s="12">
        <v>41.013800000000003</v>
      </c>
      <c r="Z142" s="11">
        <f t="shared" si="2"/>
        <v>21</v>
      </c>
    </row>
    <row r="143" spans="1:26" x14ac:dyDescent="0.2">
      <c r="A143" s="2">
        <v>142</v>
      </c>
      <c r="B143" s="10" t="s">
        <v>426</v>
      </c>
      <c r="C143" s="11" t="s">
        <v>152</v>
      </c>
      <c r="D143" s="11" t="s">
        <v>437</v>
      </c>
      <c r="E143" s="12">
        <v>0.51200000000000001</v>
      </c>
      <c r="F143" s="12">
        <v>99.999600000000001</v>
      </c>
      <c r="G143" s="12"/>
      <c r="H143" s="12"/>
      <c r="I143" s="12">
        <v>1.78</v>
      </c>
      <c r="J143" s="12">
        <v>26498800</v>
      </c>
      <c r="K143" s="12">
        <v>2.0271499999999998</v>
      </c>
      <c r="L143" s="12">
        <v>18192200</v>
      </c>
      <c r="M143" s="12"/>
      <c r="N143" s="12"/>
      <c r="O143" s="12">
        <v>97.752499999999998</v>
      </c>
      <c r="P143" s="12"/>
      <c r="Q143" s="12">
        <v>0</v>
      </c>
      <c r="R143" s="12">
        <v>63.503</v>
      </c>
      <c r="S143" s="12"/>
      <c r="T143" s="12"/>
      <c r="U143" s="12"/>
      <c r="V143" s="12"/>
      <c r="W143" s="12"/>
      <c r="X143" s="12">
        <v>36.497</v>
      </c>
      <c r="Y143" s="12">
        <v>18.947099999999999</v>
      </c>
      <c r="Z143" s="11">
        <f t="shared" si="2"/>
        <v>11</v>
      </c>
    </row>
    <row r="144" spans="1:26" x14ac:dyDescent="0.2">
      <c r="A144" s="2">
        <v>143</v>
      </c>
      <c r="B144" s="10" t="s">
        <v>423</v>
      </c>
      <c r="C144" s="11" t="s">
        <v>129</v>
      </c>
      <c r="D144" s="13" t="s">
        <v>438</v>
      </c>
      <c r="E144" s="12">
        <v>26.151</v>
      </c>
      <c r="F144" s="12"/>
      <c r="G144" s="12"/>
      <c r="H144" s="12"/>
      <c r="I144" s="12">
        <v>2.3479999999999999</v>
      </c>
      <c r="J144" s="12">
        <v>44278</v>
      </c>
      <c r="K144" s="12"/>
      <c r="L144" s="12">
        <v>30218</v>
      </c>
      <c r="M144" s="12"/>
      <c r="N144" s="12"/>
      <c r="O144" s="12"/>
      <c r="P144" s="12"/>
      <c r="Q144" s="12">
        <v>0</v>
      </c>
      <c r="R144" s="12">
        <v>92.171000000000006</v>
      </c>
      <c r="S144" s="12"/>
      <c r="T144" s="12">
        <v>93.156899999999993</v>
      </c>
      <c r="U144" s="12"/>
      <c r="V144" s="12"/>
      <c r="W144" s="12"/>
      <c r="X144" s="12">
        <v>7.8289999999999997</v>
      </c>
      <c r="Y144" s="12">
        <v>22.002099999999999</v>
      </c>
      <c r="Z144" s="11">
        <f t="shared" si="2"/>
        <v>9</v>
      </c>
    </row>
    <row r="145" spans="1:26" x14ac:dyDescent="0.2">
      <c r="A145" s="2">
        <v>144</v>
      </c>
      <c r="B145" s="10" t="s">
        <v>344</v>
      </c>
      <c r="C145" s="11" t="s">
        <v>141</v>
      </c>
      <c r="D145" s="11" t="s">
        <v>431</v>
      </c>
      <c r="E145" s="12">
        <v>1.405</v>
      </c>
      <c r="F145" s="12"/>
      <c r="G145" s="12"/>
      <c r="H145" s="12">
        <v>6416510000</v>
      </c>
      <c r="I145" s="12">
        <v>1.4</v>
      </c>
      <c r="J145" s="12">
        <v>5572270</v>
      </c>
      <c r="K145" s="12">
        <v>6.7250800000000002</v>
      </c>
      <c r="L145" s="12">
        <v>3623430</v>
      </c>
      <c r="M145" s="12">
        <v>3.4768300000000001</v>
      </c>
      <c r="N145" s="12">
        <v>351.89</v>
      </c>
      <c r="O145" s="12">
        <v>99.882499999999993</v>
      </c>
      <c r="P145" s="12">
        <v>82.1</v>
      </c>
      <c r="Q145" s="12">
        <v>69.481499999999997</v>
      </c>
      <c r="R145" s="12">
        <v>84.317999999999998</v>
      </c>
      <c r="S145" s="12"/>
      <c r="T145" s="12">
        <v>81.222099999999998</v>
      </c>
      <c r="U145" s="12">
        <v>5.4</v>
      </c>
      <c r="V145" s="12"/>
      <c r="W145" s="12"/>
      <c r="X145" s="12">
        <v>15.682</v>
      </c>
      <c r="Y145" s="12">
        <v>16.188700000000001</v>
      </c>
      <c r="Z145" s="11">
        <f t="shared" si="2"/>
        <v>16</v>
      </c>
    </row>
    <row r="146" spans="1:26" x14ac:dyDescent="0.2">
      <c r="A146" s="2">
        <v>145</v>
      </c>
      <c r="B146" s="10" t="s">
        <v>348</v>
      </c>
      <c r="C146" s="11" t="s">
        <v>145</v>
      </c>
      <c r="D146" s="11" t="s">
        <v>440</v>
      </c>
      <c r="E146" s="12">
        <v>5.9859999999999998</v>
      </c>
      <c r="F146" s="12">
        <v>99.660600000000002</v>
      </c>
      <c r="G146" s="12">
        <v>5.57348</v>
      </c>
      <c r="H146" s="12">
        <v>441802000</v>
      </c>
      <c r="I146" s="12">
        <v>2.5249999999999999</v>
      </c>
      <c r="J146" s="12">
        <v>5281540</v>
      </c>
      <c r="K146" s="12">
        <v>15.636200000000001</v>
      </c>
      <c r="L146" s="12">
        <v>3836570</v>
      </c>
      <c r="M146" s="12">
        <v>3.65388</v>
      </c>
      <c r="N146" s="12">
        <v>176.44</v>
      </c>
      <c r="O146" s="12">
        <v>95.47</v>
      </c>
      <c r="P146" s="12">
        <v>77.319999999999993</v>
      </c>
      <c r="Q146" s="12">
        <v>35.351900000000001</v>
      </c>
      <c r="R146" s="12">
        <v>88.998000000000005</v>
      </c>
      <c r="S146" s="12">
        <v>96.380099999999999</v>
      </c>
      <c r="T146" s="12">
        <v>105.917</v>
      </c>
      <c r="U146" s="12">
        <v>4.3099999999999996</v>
      </c>
      <c r="V146" s="12"/>
      <c r="W146" s="12"/>
      <c r="X146" s="12">
        <v>11.002000000000001</v>
      </c>
      <c r="Y146" s="12">
        <v>24.7148</v>
      </c>
      <c r="Z146" s="11">
        <f t="shared" si="2"/>
        <v>19</v>
      </c>
    </row>
    <row r="147" spans="1:26" x14ac:dyDescent="0.2">
      <c r="A147" s="2">
        <v>146</v>
      </c>
      <c r="B147" s="10" t="s">
        <v>349</v>
      </c>
      <c r="C147" s="11" t="s">
        <v>146</v>
      </c>
      <c r="D147" s="11" t="s">
        <v>437</v>
      </c>
      <c r="E147" s="12">
        <v>41.094999999999999</v>
      </c>
      <c r="F147" s="12">
        <v>72.703599999999994</v>
      </c>
      <c r="G147" s="12">
        <v>4.4570299999999996</v>
      </c>
      <c r="H147" s="12">
        <v>384349000</v>
      </c>
      <c r="I147" s="12">
        <v>3.605</v>
      </c>
      <c r="J147" s="12">
        <v>251269000</v>
      </c>
      <c r="K147" s="12">
        <v>0.81035999999999997</v>
      </c>
      <c r="L147" s="12">
        <v>148335000</v>
      </c>
      <c r="M147" s="12">
        <v>2.3897300000000001</v>
      </c>
      <c r="N147" s="12">
        <v>1014.59</v>
      </c>
      <c r="O147" s="12">
        <v>68.1892</v>
      </c>
      <c r="P147" s="12">
        <v>66.38</v>
      </c>
      <c r="Q147" s="12">
        <v>23.031700000000001</v>
      </c>
      <c r="R147" s="12">
        <v>38.365000000000002</v>
      </c>
      <c r="S147" s="12">
        <v>21.037199999999999</v>
      </c>
      <c r="T147" s="12">
        <v>27.478100000000001</v>
      </c>
      <c r="U147" s="12">
        <v>3.67</v>
      </c>
      <c r="V147" s="12">
        <v>22.668700000000001</v>
      </c>
      <c r="W147" s="12">
        <v>13.8993</v>
      </c>
      <c r="X147" s="12">
        <v>61.634999999999998</v>
      </c>
      <c r="Y147" s="12">
        <v>36.684899999999999</v>
      </c>
      <c r="Z147" s="11">
        <f t="shared" si="2"/>
        <v>21</v>
      </c>
    </row>
    <row r="148" spans="1:26" x14ac:dyDescent="0.2">
      <c r="A148" s="2">
        <v>147</v>
      </c>
      <c r="B148" s="10" t="s">
        <v>352</v>
      </c>
      <c r="C148" s="11" t="s">
        <v>149</v>
      </c>
      <c r="D148" s="13" t="s">
        <v>438</v>
      </c>
      <c r="E148" s="12">
        <v>29.927</v>
      </c>
      <c r="F148" s="12">
        <v>98.664400000000001</v>
      </c>
      <c r="G148" s="12"/>
      <c r="H148" s="12">
        <v>401590</v>
      </c>
      <c r="I148" s="12">
        <v>1.907</v>
      </c>
      <c r="J148" s="12">
        <v>17695</v>
      </c>
      <c r="K148" s="12">
        <v>8.8025800000000007</v>
      </c>
      <c r="L148" s="12">
        <v>12460</v>
      </c>
      <c r="M148" s="12">
        <v>10.5031</v>
      </c>
      <c r="N148" s="12"/>
      <c r="O148" s="12">
        <v>95.251000000000005</v>
      </c>
      <c r="P148" s="12"/>
      <c r="Q148" s="12">
        <v>0</v>
      </c>
      <c r="R148" s="12">
        <v>82.838999999999999</v>
      </c>
      <c r="S148" s="12"/>
      <c r="T148" s="12">
        <v>87.7376</v>
      </c>
      <c r="U148" s="12"/>
      <c r="V148" s="12"/>
      <c r="W148" s="12"/>
      <c r="X148" s="12">
        <v>17.161000000000001</v>
      </c>
      <c r="Y148" s="12">
        <v>18.244800000000001</v>
      </c>
      <c r="Z148" s="11">
        <f t="shared" si="2"/>
        <v>14</v>
      </c>
    </row>
    <row r="149" spans="1:26" x14ac:dyDescent="0.2">
      <c r="A149" s="2">
        <v>148</v>
      </c>
      <c r="B149" s="10" t="s">
        <v>357</v>
      </c>
      <c r="C149" s="11" t="s">
        <v>155</v>
      </c>
      <c r="D149" s="11" t="s">
        <v>440</v>
      </c>
      <c r="E149" s="12">
        <v>36.042999999999999</v>
      </c>
      <c r="F149" s="12">
        <v>87.7</v>
      </c>
      <c r="G149" s="12"/>
      <c r="H149" s="12">
        <v>17759700</v>
      </c>
      <c r="I149" s="12">
        <v>3.3109999999999999</v>
      </c>
      <c r="J149" s="12">
        <v>5289150</v>
      </c>
      <c r="K149" s="12"/>
      <c r="L149" s="12">
        <v>3073800</v>
      </c>
      <c r="M149" s="12">
        <v>7.0301400000000003</v>
      </c>
      <c r="N149" s="12"/>
      <c r="O149" s="12">
        <v>97.107200000000006</v>
      </c>
      <c r="P149" s="12"/>
      <c r="Q149" s="12">
        <v>13.0741</v>
      </c>
      <c r="R149" s="12">
        <v>77.876999999999995</v>
      </c>
      <c r="S149" s="12"/>
      <c r="T149" s="12">
        <v>81.313699999999997</v>
      </c>
      <c r="U149" s="12"/>
      <c r="V149" s="12"/>
      <c r="W149" s="12"/>
      <c r="X149" s="12">
        <v>22.123000000000001</v>
      </c>
      <c r="Y149" s="12">
        <v>38.0471</v>
      </c>
      <c r="Z149" s="11">
        <f t="shared" si="2"/>
        <v>13</v>
      </c>
    </row>
    <row r="150" spans="1:26" x14ac:dyDescent="0.2">
      <c r="A150" s="2">
        <v>149</v>
      </c>
      <c r="B150" s="10" t="s">
        <v>350</v>
      </c>
      <c r="C150" s="11" t="s">
        <v>147</v>
      </c>
      <c r="D150" s="11" t="s">
        <v>519</v>
      </c>
      <c r="E150" s="12">
        <v>57.341999999999999</v>
      </c>
      <c r="F150" s="12">
        <v>99.25</v>
      </c>
      <c r="G150" s="12">
        <v>11.089</v>
      </c>
      <c r="H150" s="12">
        <v>1339540</v>
      </c>
      <c r="I150" s="12">
        <v>2.1190000000000002</v>
      </c>
      <c r="J150" s="12">
        <v>4515580</v>
      </c>
      <c r="K150" s="12">
        <v>2.2314400000000001</v>
      </c>
      <c r="L150" s="12">
        <v>2969080</v>
      </c>
      <c r="M150" s="12">
        <v>3.4173499999999999</v>
      </c>
      <c r="N150" s="12">
        <v>94.92</v>
      </c>
      <c r="O150" s="12">
        <v>86.781700000000001</v>
      </c>
      <c r="P150" s="12">
        <v>77.77</v>
      </c>
      <c r="Q150" s="12">
        <v>29.314800000000002</v>
      </c>
      <c r="R150" s="12">
        <v>69.888000000000005</v>
      </c>
      <c r="S150" s="12">
        <v>67.509699999999995</v>
      </c>
      <c r="T150" s="12">
        <v>89.533100000000005</v>
      </c>
      <c r="U150" s="12">
        <v>4.4400000000000004</v>
      </c>
      <c r="V150" s="12"/>
      <c r="W150" s="12">
        <v>7.5812299999999997</v>
      </c>
      <c r="X150" s="12">
        <v>30.111999999999998</v>
      </c>
      <c r="Y150" s="12">
        <v>24.8949</v>
      </c>
      <c r="Z150" s="11">
        <f t="shared" si="2"/>
        <v>20</v>
      </c>
    </row>
    <row r="151" spans="1:26" x14ac:dyDescent="0.2">
      <c r="A151" s="2">
        <v>150</v>
      </c>
      <c r="B151" s="10" t="s">
        <v>353</v>
      </c>
      <c r="C151" s="11" t="s">
        <v>150</v>
      </c>
      <c r="D151" s="13" t="s">
        <v>438</v>
      </c>
      <c r="E151" s="12">
        <v>54.069000000000003</v>
      </c>
      <c r="F151" s="12">
        <v>67.900000000000006</v>
      </c>
      <c r="G151" s="12"/>
      <c r="H151" s="12">
        <v>86295900</v>
      </c>
      <c r="I151" s="12">
        <v>3.0990000000000002</v>
      </c>
      <c r="J151" s="12">
        <v>10576500</v>
      </c>
      <c r="K151" s="12">
        <v>0.56325199999999997</v>
      </c>
      <c r="L151" s="12">
        <v>6669110</v>
      </c>
      <c r="M151" s="12">
        <v>2.2366600000000001</v>
      </c>
      <c r="N151" s="12"/>
      <c r="O151" s="12">
        <v>75.546099999999996</v>
      </c>
      <c r="P151" s="12"/>
      <c r="Q151" s="12">
        <v>24.587299999999999</v>
      </c>
      <c r="R151" s="12">
        <v>13.88</v>
      </c>
      <c r="S151" s="12"/>
      <c r="T151" s="12">
        <v>131.083</v>
      </c>
      <c r="U151" s="12"/>
      <c r="V151" s="12"/>
      <c r="W151" s="12"/>
      <c r="X151" s="12">
        <v>86.12</v>
      </c>
      <c r="Y151" s="12">
        <v>33.479500000000002</v>
      </c>
      <c r="Z151" s="11">
        <f t="shared" si="2"/>
        <v>14</v>
      </c>
    </row>
    <row r="152" spans="1:26" x14ac:dyDescent="0.2">
      <c r="A152" s="2">
        <v>151</v>
      </c>
      <c r="B152" s="10" t="s">
        <v>356</v>
      </c>
      <c r="C152" s="11" t="s">
        <v>154</v>
      </c>
      <c r="D152" s="11" t="s">
        <v>519</v>
      </c>
      <c r="E152" s="12">
        <v>70.331999999999994</v>
      </c>
      <c r="F152" s="12">
        <v>98.63</v>
      </c>
      <c r="G152" s="12">
        <v>1.7164699999999999</v>
      </c>
      <c r="H152" s="12">
        <v>185603000</v>
      </c>
      <c r="I152" s="12">
        <v>2.4220000000000002</v>
      </c>
      <c r="J152" s="12">
        <v>6929150</v>
      </c>
      <c r="K152" s="12">
        <v>1.14459</v>
      </c>
      <c r="L152" s="12">
        <v>4495250</v>
      </c>
      <c r="M152" s="12">
        <v>2.0597099999999999</v>
      </c>
      <c r="N152" s="12">
        <v>83.98</v>
      </c>
      <c r="O152" s="12">
        <v>87.839299999999994</v>
      </c>
      <c r="P152" s="12">
        <v>73.03</v>
      </c>
      <c r="Q152" s="12">
        <v>30.8307</v>
      </c>
      <c r="R152" s="12">
        <v>63.488999999999997</v>
      </c>
      <c r="S152" s="12">
        <v>76.259200000000007</v>
      </c>
      <c r="T152" s="12">
        <v>76.831199999999995</v>
      </c>
      <c r="U152" s="12">
        <v>3.71</v>
      </c>
      <c r="V152" s="12"/>
      <c r="W152" s="12">
        <v>9.1596600000000006</v>
      </c>
      <c r="X152" s="12">
        <v>36.511000000000003</v>
      </c>
      <c r="Y152" s="12">
        <v>28.587900000000001</v>
      </c>
      <c r="Z152" s="11">
        <f t="shared" si="2"/>
        <v>20</v>
      </c>
    </row>
    <row r="153" spans="1:26" x14ac:dyDescent="0.2">
      <c r="A153" s="2">
        <v>152</v>
      </c>
      <c r="B153" s="10" t="s">
        <v>351</v>
      </c>
      <c r="C153" s="11" t="s">
        <v>148</v>
      </c>
      <c r="D153" s="11" t="s">
        <v>519</v>
      </c>
      <c r="E153" s="12">
        <v>43.561999999999998</v>
      </c>
      <c r="F153" s="12">
        <v>99.12</v>
      </c>
      <c r="G153" s="12">
        <v>14.1228</v>
      </c>
      <c r="H153" s="12">
        <v>264161000</v>
      </c>
      <c r="I153" s="12">
        <v>1.98</v>
      </c>
      <c r="J153" s="12">
        <v>34217800</v>
      </c>
      <c r="K153" s="12">
        <v>1.3985700000000001</v>
      </c>
      <c r="L153" s="12">
        <v>22858000</v>
      </c>
      <c r="M153" s="12">
        <v>2.1995800000000001</v>
      </c>
      <c r="N153" s="12">
        <v>406.65</v>
      </c>
      <c r="O153" s="12">
        <v>98.501099999999994</v>
      </c>
      <c r="P153" s="12">
        <v>74.78</v>
      </c>
      <c r="Q153" s="12">
        <v>26.0899</v>
      </c>
      <c r="R153" s="12">
        <v>79.138999999999996</v>
      </c>
      <c r="S153" s="12">
        <v>74.674999999999997</v>
      </c>
      <c r="T153" s="12">
        <v>51.475900000000003</v>
      </c>
      <c r="U153" s="12">
        <v>4.22</v>
      </c>
      <c r="V153" s="12"/>
      <c r="W153" s="12">
        <v>13.2561</v>
      </c>
      <c r="X153" s="12">
        <v>20.861000000000001</v>
      </c>
      <c r="Y153" s="12">
        <v>23.970400000000001</v>
      </c>
      <c r="Z153" s="11">
        <f t="shared" si="2"/>
        <v>20</v>
      </c>
    </row>
    <row r="154" spans="1:26" x14ac:dyDescent="0.2">
      <c r="A154" s="2">
        <v>153</v>
      </c>
      <c r="B154" s="10" t="s">
        <v>503</v>
      </c>
      <c r="C154" s="11" t="s">
        <v>504</v>
      </c>
      <c r="D154" s="11" t="s">
        <v>517</v>
      </c>
      <c r="E154" s="12">
        <v>31.887</v>
      </c>
      <c r="F154" s="12">
        <v>98.384500000000003</v>
      </c>
      <c r="G154" s="12">
        <v>13.094099999999999</v>
      </c>
      <c r="H154" s="12">
        <v>37091000000</v>
      </c>
      <c r="I154" s="12">
        <v>1.9159999999999999</v>
      </c>
      <c r="J154" s="12">
        <v>115844000</v>
      </c>
      <c r="K154" s="12">
        <v>1.1896800000000001</v>
      </c>
      <c r="L154" s="12">
        <v>77198200</v>
      </c>
      <c r="M154" s="12">
        <v>4.8747999999999996</v>
      </c>
      <c r="N154" s="12">
        <v>846.74</v>
      </c>
      <c r="O154" s="12">
        <v>95.025400000000005</v>
      </c>
      <c r="P154" s="12">
        <v>68.41</v>
      </c>
      <c r="Q154" s="12">
        <v>39.341299999999997</v>
      </c>
      <c r="R154" s="12">
        <v>48.613999999999997</v>
      </c>
      <c r="S154" s="12">
        <v>52.675699999999999</v>
      </c>
      <c r="T154" s="12">
        <v>65.885499999999993</v>
      </c>
      <c r="U154" s="12">
        <v>4.3499999999999996</v>
      </c>
      <c r="V154" s="12"/>
      <c r="W154" s="12">
        <v>3.5876000000000001</v>
      </c>
      <c r="X154" s="12">
        <v>51.386000000000003</v>
      </c>
      <c r="Y154" s="12">
        <v>27.868099999999998</v>
      </c>
      <c r="Z154" s="11">
        <f t="shared" si="2"/>
        <v>20</v>
      </c>
    </row>
    <row r="155" spans="1:26" x14ac:dyDescent="0.2">
      <c r="A155" s="2">
        <v>154</v>
      </c>
      <c r="B155" s="10" t="s">
        <v>354</v>
      </c>
      <c r="C155" s="11" t="s">
        <v>151</v>
      </c>
      <c r="D155" s="11" t="s">
        <v>431</v>
      </c>
      <c r="E155" s="12">
        <v>6.1909999999999998</v>
      </c>
      <c r="F155" s="12">
        <v>99.9</v>
      </c>
      <c r="G155" s="12">
        <v>18.596399999999999</v>
      </c>
      <c r="H155" s="12">
        <v>29592100000</v>
      </c>
      <c r="I155" s="12">
        <v>1.1579999999999999</v>
      </c>
      <c r="J155" s="12">
        <v>36554700</v>
      </c>
      <c r="K155" s="12">
        <v>7.3675600000000001</v>
      </c>
      <c r="L155" s="12">
        <v>23779100</v>
      </c>
      <c r="M155" s="12">
        <v>1.9471000000000001</v>
      </c>
      <c r="N155" s="12">
        <v>1078.17</v>
      </c>
      <c r="O155" s="12">
        <v>97.159899999999993</v>
      </c>
      <c r="P155" s="12">
        <v>78.2</v>
      </c>
      <c r="Q155" s="12">
        <v>62.886200000000002</v>
      </c>
      <c r="R155" s="12">
        <v>60.33</v>
      </c>
      <c r="S155" s="12">
        <v>86.941100000000006</v>
      </c>
      <c r="T155" s="12">
        <v>100.65</v>
      </c>
      <c r="U155" s="12">
        <v>4.59</v>
      </c>
      <c r="V155" s="12"/>
      <c r="W155" s="12"/>
      <c r="X155" s="12">
        <v>39.67</v>
      </c>
      <c r="Y155" s="12">
        <v>14.8058</v>
      </c>
      <c r="Z155" s="11">
        <f t="shared" si="2"/>
        <v>19</v>
      </c>
    </row>
    <row r="156" spans="1:26" x14ac:dyDescent="0.2">
      <c r="A156" s="2">
        <v>155</v>
      </c>
      <c r="B156" s="10" t="s">
        <v>355</v>
      </c>
      <c r="C156" s="11" t="s">
        <v>153</v>
      </c>
      <c r="D156" s="13" t="s">
        <v>435</v>
      </c>
      <c r="E156" s="12">
        <v>6.9850000000000003</v>
      </c>
      <c r="F156" s="12">
        <v>99.71</v>
      </c>
      <c r="G156" s="12">
        <v>34.526800000000001</v>
      </c>
      <c r="H156" s="12">
        <v>4196060000</v>
      </c>
      <c r="I156" s="12">
        <v>1.44</v>
      </c>
      <c r="J156" s="12">
        <v>10701600</v>
      </c>
      <c r="K156" s="12">
        <v>3.78491</v>
      </c>
      <c r="L156" s="12">
        <v>6706490</v>
      </c>
      <c r="M156" s="12">
        <v>3.9273600000000002</v>
      </c>
      <c r="N156" s="12">
        <v>292.67</v>
      </c>
      <c r="O156" s="12">
        <v>97.711500000000001</v>
      </c>
      <c r="P156" s="12">
        <v>81.52</v>
      </c>
      <c r="Q156" s="12">
        <v>79.333299999999994</v>
      </c>
      <c r="R156" s="12">
        <v>68.423000000000002</v>
      </c>
      <c r="S156" s="12">
        <v>84.496899999999997</v>
      </c>
      <c r="T156" s="12">
        <v>91.141000000000005</v>
      </c>
      <c r="U156" s="12">
        <v>4.57</v>
      </c>
      <c r="V156" s="12"/>
      <c r="W156" s="12"/>
      <c r="X156" s="12">
        <v>31.577000000000002</v>
      </c>
      <c r="Y156" s="12">
        <v>12.801399999999999</v>
      </c>
      <c r="Z156" s="11">
        <f t="shared" si="2"/>
        <v>19</v>
      </c>
    </row>
    <row r="157" spans="1:26" x14ac:dyDescent="0.2">
      <c r="A157" s="2">
        <v>156</v>
      </c>
      <c r="B157" s="10" t="s">
        <v>505</v>
      </c>
      <c r="C157" s="11" t="s">
        <v>506</v>
      </c>
      <c r="D157" s="11" t="s">
        <v>517</v>
      </c>
      <c r="E157" s="12">
        <v>14.076000000000001</v>
      </c>
      <c r="F157" s="12">
        <v>92.4</v>
      </c>
      <c r="G157" s="12"/>
      <c r="H157" s="12"/>
      <c r="I157" s="12">
        <v>0.92</v>
      </c>
      <c r="J157" s="12">
        <v>3203300</v>
      </c>
      <c r="K157" s="12"/>
      <c r="L157" s="12">
        <v>2038980</v>
      </c>
      <c r="M157" s="12"/>
      <c r="N157" s="12"/>
      <c r="O157" s="12">
        <v>78.793400000000005</v>
      </c>
      <c r="P157" s="12">
        <v>78.540000000000006</v>
      </c>
      <c r="Q157" s="12">
        <v>0</v>
      </c>
      <c r="R157" s="12">
        <v>93.664000000000001</v>
      </c>
      <c r="S157" s="12"/>
      <c r="T157" s="12">
        <v>94.775300000000001</v>
      </c>
      <c r="U157" s="12">
        <v>4.6399999999999997</v>
      </c>
      <c r="V157" s="12">
        <v>21.459199999999999</v>
      </c>
      <c r="W157" s="12">
        <v>6.9444400000000002</v>
      </c>
      <c r="X157" s="12">
        <v>6.3360000000000003</v>
      </c>
      <c r="Y157" s="12">
        <v>11.6287</v>
      </c>
      <c r="Z157" s="11">
        <f t="shared" si="2"/>
        <v>15</v>
      </c>
    </row>
    <row r="158" spans="1:26" x14ac:dyDescent="0.2">
      <c r="A158" s="2">
        <v>157</v>
      </c>
      <c r="B158" s="10" t="s">
        <v>359</v>
      </c>
      <c r="C158" s="11" t="s">
        <v>157</v>
      </c>
      <c r="D158" s="11" t="s">
        <v>440</v>
      </c>
      <c r="E158" s="12">
        <v>5.6929999999999996</v>
      </c>
      <c r="F158" s="12">
        <v>98.712699999999998</v>
      </c>
      <c r="G158" s="12">
        <v>3.11043</v>
      </c>
      <c r="H158" s="12">
        <v>245656000</v>
      </c>
      <c r="I158" s="12">
        <v>1.7290000000000001</v>
      </c>
      <c r="J158" s="12">
        <v>2857820</v>
      </c>
      <c r="K158" s="12">
        <v>31.726800000000001</v>
      </c>
      <c r="L158" s="12">
        <v>2379240</v>
      </c>
      <c r="M158" s="12">
        <v>19.477</v>
      </c>
      <c r="N158" s="12">
        <v>315.35000000000002</v>
      </c>
      <c r="O158" s="12">
        <v>98.194500000000005</v>
      </c>
      <c r="P158" s="12">
        <v>78.760000000000005</v>
      </c>
      <c r="Q158" s="12">
        <v>24.3201</v>
      </c>
      <c r="R158" s="12">
        <v>99.387</v>
      </c>
      <c r="S158" s="12">
        <v>100</v>
      </c>
      <c r="T158" s="12">
        <v>100.214</v>
      </c>
      <c r="U158" s="12">
        <v>5.1100000000000003</v>
      </c>
      <c r="V158" s="12"/>
      <c r="W158" s="12"/>
      <c r="X158" s="12">
        <v>0.61299999999999999</v>
      </c>
      <c r="Y158" s="12">
        <v>15.0707</v>
      </c>
      <c r="Z158" s="11">
        <f t="shared" si="2"/>
        <v>19</v>
      </c>
    </row>
    <row r="159" spans="1:26" x14ac:dyDescent="0.2">
      <c r="A159" s="2">
        <v>158</v>
      </c>
      <c r="B159" s="10" t="s">
        <v>406</v>
      </c>
      <c r="C159" s="11" t="s">
        <v>202</v>
      </c>
      <c r="D159" s="11" t="s">
        <v>436</v>
      </c>
      <c r="E159" s="12">
        <v>7.8339999999999996</v>
      </c>
      <c r="F159" s="12"/>
      <c r="G159" s="12"/>
      <c r="H159" s="14"/>
      <c r="I159" s="12">
        <v>1.5449999999999999</v>
      </c>
      <c r="J159" s="12">
        <v>1527320</v>
      </c>
      <c r="K159" s="12"/>
      <c r="L159" s="12">
        <v>1057140</v>
      </c>
      <c r="M159" s="12"/>
      <c r="N159" s="12"/>
      <c r="O159" s="12"/>
      <c r="P159" s="12"/>
      <c r="Q159" s="12">
        <v>36.248699999999999</v>
      </c>
      <c r="R159" s="12"/>
      <c r="S159" s="12"/>
      <c r="T159" s="12">
        <v>114.26</v>
      </c>
      <c r="U159" s="12"/>
      <c r="V159" s="12"/>
      <c r="W159" s="12"/>
      <c r="X159" s="12"/>
      <c r="Y159" s="12">
        <v>20.710799999999999</v>
      </c>
      <c r="Z159" s="11">
        <f t="shared" si="2"/>
        <v>7</v>
      </c>
    </row>
    <row r="160" spans="1:26" x14ac:dyDescent="0.2">
      <c r="A160" s="2">
        <v>159</v>
      </c>
      <c r="B160" s="10" t="s">
        <v>330</v>
      </c>
      <c r="C160" s="11" t="s">
        <v>124</v>
      </c>
      <c r="D160" s="11" t="s">
        <v>436</v>
      </c>
      <c r="E160" s="12">
        <v>12.962999999999999</v>
      </c>
      <c r="F160" s="12">
        <v>98.6</v>
      </c>
      <c r="G160" s="12">
        <v>0.99606300000000003</v>
      </c>
      <c r="H160" s="14">
        <v>431775000</v>
      </c>
      <c r="I160" s="12">
        <v>1.5</v>
      </c>
      <c r="J160" s="12">
        <v>1792180</v>
      </c>
      <c r="K160" s="12">
        <v>3.27942</v>
      </c>
      <c r="L160" s="12">
        <v>1167650</v>
      </c>
      <c r="M160" s="12">
        <v>1.74404</v>
      </c>
      <c r="N160" s="12">
        <v>29</v>
      </c>
      <c r="O160" s="12">
        <v>95.728499999999997</v>
      </c>
      <c r="P160" s="12">
        <v>75.34</v>
      </c>
      <c r="Q160" s="12">
        <v>39.383600000000001</v>
      </c>
      <c r="R160" s="12">
        <v>59.868000000000002</v>
      </c>
      <c r="S160" s="12">
        <v>83.018199999999993</v>
      </c>
      <c r="T160" s="12">
        <v>138.47800000000001</v>
      </c>
      <c r="U160" s="12">
        <v>4.2300000000000004</v>
      </c>
      <c r="V160" s="12"/>
      <c r="W160" s="12"/>
      <c r="X160" s="12">
        <v>40.131999999999998</v>
      </c>
      <c r="Y160" s="12">
        <v>16.822700000000001</v>
      </c>
      <c r="Z160" s="11">
        <f t="shared" si="2"/>
        <v>19</v>
      </c>
    </row>
    <row r="161" spans="1:26" x14ac:dyDescent="0.2">
      <c r="A161" s="2">
        <v>160</v>
      </c>
      <c r="B161" s="10" t="s">
        <v>360</v>
      </c>
      <c r="C161" s="11" t="s">
        <v>158</v>
      </c>
      <c r="D161" s="11" t="s">
        <v>436</v>
      </c>
      <c r="E161" s="12">
        <v>33.75</v>
      </c>
      <c r="F161" s="12">
        <v>99.5</v>
      </c>
      <c r="G161" s="12">
        <v>6.93466</v>
      </c>
      <c r="H161" s="14">
        <v>9724370000</v>
      </c>
      <c r="I161" s="12">
        <v>1.71</v>
      </c>
      <c r="J161" s="12">
        <v>19069300</v>
      </c>
      <c r="K161" s="12">
        <v>3.5641400000000001</v>
      </c>
      <c r="L161" s="12">
        <v>12262200</v>
      </c>
      <c r="M161" s="12">
        <v>3.3346100000000001</v>
      </c>
      <c r="N161" s="12">
        <v>458.98</v>
      </c>
      <c r="O161" s="12">
        <v>85.7089</v>
      </c>
      <c r="P161" s="12">
        <v>74.959999999999994</v>
      </c>
      <c r="Q161" s="12">
        <v>65.777799999999999</v>
      </c>
      <c r="R161" s="12">
        <v>54.88</v>
      </c>
      <c r="S161" s="12">
        <v>85.503100000000003</v>
      </c>
      <c r="T161" s="12">
        <v>77.291899999999998</v>
      </c>
      <c r="U161" s="12">
        <v>4.28</v>
      </c>
      <c r="V161" s="12">
        <v>9.7182099999999991</v>
      </c>
      <c r="W161" s="12">
        <v>7.0050999999999997</v>
      </c>
      <c r="X161" s="12">
        <v>45.12</v>
      </c>
      <c r="Y161" s="12">
        <v>15.7158</v>
      </c>
      <c r="Z161" s="11">
        <f t="shared" si="2"/>
        <v>21</v>
      </c>
    </row>
    <row r="162" spans="1:26" x14ac:dyDescent="0.2">
      <c r="A162" s="2">
        <v>161</v>
      </c>
      <c r="B162" s="10" t="s">
        <v>428</v>
      </c>
      <c r="C162" s="11" t="s">
        <v>159</v>
      </c>
      <c r="D162" s="11" t="s">
        <v>436</v>
      </c>
      <c r="E162" s="12">
        <v>12.974</v>
      </c>
      <c r="F162" s="12">
        <v>99.918199999999999</v>
      </c>
      <c r="G162" s="12"/>
      <c r="H162" s="14">
        <v>10598600000</v>
      </c>
      <c r="I162" s="12">
        <v>1.41</v>
      </c>
      <c r="J162" s="12">
        <v>143534000</v>
      </c>
      <c r="K162" s="12">
        <v>11.2323</v>
      </c>
      <c r="L162" s="12">
        <v>94078100</v>
      </c>
      <c r="M162" s="12">
        <v>3.5428799999999998</v>
      </c>
      <c r="N162" s="12">
        <v>3745.28</v>
      </c>
      <c r="O162" s="12">
        <v>97.838300000000004</v>
      </c>
      <c r="P162" s="12">
        <v>70.91</v>
      </c>
      <c r="Q162" s="12">
        <v>29.592600000000001</v>
      </c>
      <c r="R162" s="12">
        <v>75.548000000000002</v>
      </c>
      <c r="S162" s="12"/>
      <c r="T162" s="12">
        <v>39.508200000000002</v>
      </c>
      <c r="U162" s="12">
        <v>4.6399999999999997</v>
      </c>
      <c r="V162" s="12">
        <v>6.7292300000000003</v>
      </c>
      <c r="W162" s="12">
        <v>2.8009900000000001</v>
      </c>
      <c r="X162" s="12">
        <v>24.452000000000002</v>
      </c>
      <c r="Y162" s="12">
        <v>17.278300000000002</v>
      </c>
      <c r="Z162" s="11">
        <f t="shared" si="2"/>
        <v>19</v>
      </c>
    </row>
    <row r="163" spans="1:26" x14ac:dyDescent="0.2">
      <c r="A163" s="2">
        <v>162</v>
      </c>
      <c r="B163" s="10" t="s">
        <v>361</v>
      </c>
      <c r="C163" s="11" t="s">
        <v>160</v>
      </c>
      <c r="D163" s="13" t="s">
        <v>432</v>
      </c>
      <c r="E163" s="12">
        <v>30.779</v>
      </c>
      <c r="F163" s="12">
        <v>86.9</v>
      </c>
      <c r="G163" s="12">
        <v>1.08267</v>
      </c>
      <c r="H163" s="12">
        <v>6797230</v>
      </c>
      <c r="I163" s="12">
        <v>3.698</v>
      </c>
      <c r="J163" s="12">
        <v>14256600</v>
      </c>
      <c r="K163" s="12">
        <v>0.105124</v>
      </c>
      <c r="L163" s="12">
        <v>8370480</v>
      </c>
      <c r="M163" s="12">
        <v>3.5499000000000001</v>
      </c>
      <c r="N163" s="12">
        <v>24.36</v>
      </c>
      <c r="O163" s="12">
        <v>95.281499999999994</v>
      </c>
      <c r="P163" s="12">
        <v>64.52</v>
      </c>
      <c r="Q163" s="12">
        <v>47.063499999999998</v>
      </c>
      <c r="R163" s="12">
        <v>18.081</v>
      </c>
      <c r="S163" s="12">
        <v>30.4618</v>
      </c>
      <c r="T163" s="12">
        <v>69.954400000000007</v>
      </c>
      <c r="U163" s="12">
        <v>4.3499999999999996</v>
      </c>
      <c r="V163" s="12"/>
      <c r="W163" s="12"/>
      <c r="X163" s="12">
        <v>81.918999999999997</v>
      </c>
      <c r="Y163" s="12">
        <v>37.360799999999998</v>
      </c>
      <c r="Z163" s="11">
        <f t="shared" si="2"/>
        <v>19</v>
      </c>
    </row>
    <row r="164" spans="1:26" x14ac:dyDescent="0.2">
      <c r="A164" s="2">
        <v>163</v>
      </c>
      <c r="B164" s="10" t="s">
        <v>312</v>
      </c>
      <c r="C164" s="11" t="s">
        <v>103</v>
      </c>
      <c r="D164" s="11" t="s">
        <v>518</v>
      </c>
      <c r="E164" s="12">
        <v>35.183</v>
      </c>
      <c r="F164" s="12"/>
      <c r="G164" s="12"/>
      <c r="H164" s="12">
        <v>6842010</v>
      </c>
      <c r="I164" s="12">
        <v>1.5049999999999999</v>
      </c>
      <c r="J164" s="12">
        <v>46843</v>
      </c>
      <c r="K164" s="12">
        <v>4.8486599999999997</v>
      </c>
      <c r="L164" s="12">
        <v>33064</v>
      </c>
      <c r="M164" s="12">
        <v>4.1834899999999999</v>
      </c>
      <c r="N164" s="12"/>
      <c r="O164" s="12">
        <v>96.215999999999994</v>
      </c>
      <c r="P164" s="12"/>
      <c r="Q164" s="12">
        <v>0</v>
      </c>
      <c r="R164" s="12">
        <v>31.221</v>
      </c>
      <c r="S164" s="12"/>
      <c r="T164" s="12"/>
      <c r="U164" s="12"/>
      <c r="V164" s="12"/>
      <c r="W164" s="12"/>
      <c r="X164" s="12">
        <v>68.778999999999996</v>
      </c>
      <c r="Y164" s="12">
        <v>18.189499999999999</v>
      </c>
      <c r="Z164" s="11">
        <f t="shared" si="2"/>
        <v>12</v>
      </c>
    </row>
    <row r="165" spans="1:26" x14ac:dyDescent="0.2">
      <c r="A165" s="2">
        <v>164</v>
      </c>
      <c r="B165" s="10" t="s">
        <v>317</v>
      </c>
      <c r="C165" s="11" t="s">
        <v>109</v>
      </c>
      <c r="D165" s="11" t="s">
        <v>518</v>
      </c>
      <c r="E165" s="12">
        <v>27.829000000000001</v>
      </c>
      <c r="F165" s="12">
        <v>99.98</v>
      </c>
      <c r="G165" s="12"/>
      <c r="H165" s="12">
        <v>2887310</v>
      </c>
      <c r="I165" s="12">
        <v>1.379</v>
      </c>
      <c r="J165" s="12">
        <v>179744</v>
      </c>
      <c r="K165" s="12">
        <v>2.7851400000000002</v>
      </c>
      <c r="L165" s="12">
        <v>130937</v>
      </c>
      <c r="M165" s="12">
        <v>3.9186399999999999</v>
      </c>
      <c r="N165" s="12"/>
      <c r="O165" s="12">
        <v>98.287199999999999</v>
      </c>
      <c r="P165" s="12"/>
      <c r="Q165" s="12">
        <v>0</v>
      </c>
      <c r="R165" s="12">
        <v>19.306000000000001</v>
      </c>
      <c r="S165" s="12"/>
      <c r="T165" s="12"/>
      <c r="U165" s="12"/>
      <c r="V165" s="12"/>
      <c r="W165" s="12"/>
      <c r="X165" s="12">
        <v>80.694000000000003</v>
      </c>
      <c r="Y165" s="12">
        <v>17.536899999999999</v>
      </c>
      <c r="Z165" s="11">
        <f t="shared" si="2"/>
        <v>13</v>
      </c>
    </row>
    <row r="166" spans="1:26" x14ac:dyDescent="0.2">
      <c r="A166" s="2">
        <v>165</v>
      </c>
      <c r="B166" s="10" t="s">
        <v>325</v>
      </c>
      <c r="C166" s="11" t="s">
        <v>117</v>
      </c>
      <c r="D166" s="11" t="s">
        <v>518</v>
      </c>
      <c r="E166" s="12">
        <v>14.29</v>
      </c>
      <c r="F166" s="12"/>
      <c r="G166" s="12"/>
      <c r="H166" s="12"/>
      <c r="I166" s="12">
        <v>2.718</v>
      </c>
      <c r="J166" s="12">
        <v>26129</v>
      </c>
      <c r="K166" s="12"/>
      <c r="L166" s="12">
        <v>15745</v>
      </c>
      <c r="M166" s="12"/>
      <c r="N166" s="12"/>
      <c r="O166" s="12"/>
      <c r="P166" s="12"/>
      <c r="Q166" s="12">
        <v>0</v>
      </c>
      <c r="R166" s="12"/>
      <c r="S166" s="12"/>
      <c r="T166" s="12"/>
      <c r="U166" s="12"/>
      <c r="V166" s="12"/>
      <c r="W166" s="12"/>
      <c r="X166" s="12"/>
      <c r="Y166" s="12">
        <v>21.336400000000001</v>
      </c>
      <c r="Z166" s="11">
        <f t="shared" si="2"/>
        <v>6</v>
      </c>
    </row>
    <row r="167" spans="1:26" x14ac:dyDescent="0.2">
      <c r="A167" s="2">
        <v>166</v>
      </c>
      <c r="B167" s="10" t="s">
        <v>395</v>
      </c>
      <c r="C167" s="11" t="s">
        <v>196</v>
      </c>
      <c r="D167" s="11" t="s">
        <v>518</v>
      </c>
      <c r="E167" s="12">
        <v>42.3</v>
      </c>
      <c r="F167" s="12">
        <v>98.7</v>
      </c>
      <c r="G167" s="12"/>
      <c r="H167" s="12">
        <v>535939</v>
      </c>
      <c r="I167" s="12">
        <v>1.7749999999999999</v>
      </c>
      <c r="J167" s="12">
        <v>100616</v>
      </c>
      <c r="K167" s="12">
        <v>2.1006999999999998</v>
      </c>
      <c r="L167" s="12">
        <v>67229</v>
      </c>
      <c r="M167" s="12">
        <v>3.4663300000000001</v>
      </c>
      <c r="N167" s="12"/>
      <c r="O167" s="12">
        <v>98.494299999999996</v>
      </c>
      <c r="P167" s="12"/>
      <c r="Q167" s="12">
        <v>0</v>
      </c>
      <c r="R167" s="12">
        <v>54.725000000000001</v>
      </c>
      <c r="S167" s="12"/>
      <c r="T167" s="12"/>
      <c r="U167" s="12"/>
      <c r="V167" s="12"/>
      <c r="W167" s="12"/>
      <c r="X167" s="12">
        <v>45.274999999999999</v>
      </c>
      <c r="Y167" s="12">
        <v>21.2913</v>
      </c>
      <c r="Z167" s="11">
        <f t="shared" si="2"/>
        <v>13</v>
      </c>
    </row>
    <row r="168" spans="1:26" x14ac:dyDescent="0.2">
      <c r="A168" s="2">
        <v>167</v>
      </c>
      <c r="B168" s="10" t="s">
        <v>399</v>
      </c>
      <c r="C168" s="11" t="s">
        <v>201</v>
      </c>
      <c r="D168" s="13" t="s">
        <v>438</v>
      </c>
      <c r="E168" s="12">
        <v>43.537999999999997</v>
      </c>
      <c r="F168" s="12">
        <v>99.1</v>
      </c>
      <c r="G168" s="12"/>
      <c r="H168" s="12">
        <v>396638</v>
      </c>
      <c r="I168" s="12">
        <v>3.8290000000000002</v>
      </c>
      <c r="J168" s="12">
        <v>218019</v>
      </c>
      <c r="K168" s="12">
        <v>0.96078200000000002</v>
      </c>
      <c r="L168" s="12">
        <v>121338</v>
      </c>
      <c r="M168" s="12">
        <v>0.477719</v>
      </c>
      <c r="N168" s="12"/>
      <c r="O168" s="12">
        <v>95.746799999999993</v>
      </c>
      <c r="P168" s="12"/>
      <c r="Q168" s="12">
        <v>0</v>
      </c>
      <c r="R168" s="12">
        <v>17.420000000000002</v>
      </c>
      <c r="S168" s="12"/>
      <c r="T168" s="12">
        <v>83.131699999999995</v>
      </c>
      <c r="U168" s="12"/>
      <c r="V168" s="12"/>
      <c r="W168" s="12"/>
      <c r="X168" s="12">
        <v>82.58</v>
      </c>
      <c r="Y168" s="12">
        <v>38.464199999999998</v>
      </c>
      <c r="Z168" s="11">
        <f t="shared" si="2"/>
        <v>14</v>
      </c>
    </row>
    <row r="169" spans="1:26" x14ac:dyDescent="0.2">
      <c r="A169" s="2">
        <v>168</v>
      </c>
      <c r="B169" s="10" t="s">
        <v>367</v>
      </c>
      <c r="C169" s="11" t="s">
        <v>167</v>
      </c>
      <c r="D169" s="11" t="s">
        <v>431</v>
      </c>
      <c r="E169" s="12">
        <v>1.1579999999999999</v>
      </c>
      <c r="F169" s="12"/>
      <c r="G169" s="12"/>
      <c r="H169" s="12"/>
      <c r="I169" s="12">
        <v>1.149</v>
      </c>
      <c r="J169" s="12">
        <v>33977</v>
      </c>
      <c r="K169" s="12"/>
      <c r="L169" s="12">
        <v>22198</v>
      </c>
      <c r="M169" s="12"/>
      <c r="N169" s="12"/>
      <c r="O169" s="12">
        <v>93.892099999999999</v>
      </c>
      <c r="P169" s="12"/>
      <c r="Q169" s="12">
        <v>0</v>
      </c>
      <c r="R169" s="12">
        <v>97.932000000000002</v>
      </c>
      <c r="S169" s="12"/>
      <c r="T169" s="12">
        <v>370.43599999999998</v>
      </c>
      <c r="U169" s="12"/>
      <c r="V169" s="12"/>
      <c r="W169" s="12"/>
      <c r="X169" s="12">
        <v>2.0680000000000001</v>
      </c>
      <c r="Y169" s="12">
        <v>12.2569</v>
      </c>
      <c r="Z169" s="11">
        <f t="shared" si="2"/>
        <v>10</v>
      </c>
    </row>
    <row r="170" spans="1:26" x14ac:dyDescent="0.2">
      <c r="A170" s="2">
        <v>169</v>
      </c>
      <c r="B170" s="10" t="s">
        <v>371</v>
      </c>
      <c r="C170" s="11" t="s">
        <v>171</v>
      </c>
      <c r="D170" s="13" t="s">
        <v>432</v>
      </c>
      <c r="E170" s="12">
        <v>86.194999999999993</v>
      </c>
      <c r="F170" s="12">
        <v>98.18</v>
      </c>
      <c r="G170" s="12"/>
      <c r="H170" s="12">
        <v>70979</v>
      </c>
      <c r="I170" s="12">
        <v>3.6440000000000001</v>
      </c>
      <c r="J170" s="12">
        <v>235536</v>
      </c>
      <c r="K170" s="12">
        <v>0.64534999999999998</v>
      </c>
      <c r="L170" s="12">
        <v>137250</v>
      </c>
      <c r="M170" s="12">
        <v>2.2259000000000002</v>
      </c>
      <c r="N170" s="12"/>
      <c r="O170" s="12">
        <v>93.966899999999995</v>
      </c>
      <c r="P170" s="12"/>
      <c r="Q170" s="12">
        <v>0</v>
      </c>
      <c r="R170" s="12">
        <v>77.013999999999996</v>
      </c>
      <c r="S170" s="12"/>
      <c r="T170" s="12"/>
      <c r="U170" s="12"/>
      <c r="V170" s="12">
        <v>11.983599999999999</v>
      </c>
      <c r="W170" s="12"/>
      <c r="X170" s="12">
        <v>22.986000000000001</v>
      </c>
      <c r="Y170" s="12">
        <v>37.828299999999999</v>
      </c>
      <c r="Z170" s="11">
        <f t="shared" si="2"/>
        <v>14</v>
      </c>
    </row>
    <row r="171" spans="1:26" x14ac:dyDescent="0.2">
      <c r="A171" s="2">
        <v>170</v>
      </c>
      <c r="B171" s="10" t="s">
        <v>362</v>
      </c>
      <c r="C171" s="11" t="s">
        <v>161</v>
      </c>
      <c r="D171" s="11" t="s">
        <v>440</v>
      </c>
      <c r="E171" s="12">
        <v>11.114000000000001</v>
      </c>
      <c r="F171" s="12">
        <v>99.498400000000004</v>
      </c>
      <c r="G171" s="12">
        <v>7.4997100000000003</v>
      </c>
      <c r="H171" s="12">
        <v>261805000</v>
      </c>
      <c r="I171" s="12">
        <v>2.2799999999999998</v>
      </c>
      <c r="J171" s="12">
        <v>35300300</v>
      </c>
      <c r="K171" s="12">
        <v>14.2666</v>
      </c>
      <c r="L171" s="12">
        <v>25850600</v>
      </c>
      <c r="M171" s="12">
        <v>4.9779400000000003</v>
      </c>
      <c r="N171" s="12">
        <v>1651.13</v>
      </c>
      <c r="O171" s="12">
        <v>95.107699999999994</v>
      </c>
      <c r="P171" s="12">
        <v>74.489999999999995</v>
      </c>
      <c r="Q171" s="12">
        <v>23.166699999999999</v>
      </c>
      <c r="R171" s="12">
        <v>85.171000000000006</v>
      </c>
      <c r="S171" s="12">
        <v>100</v>
      </c>
      <c r="T171" s="12">
        <v>54.804499999999997</v>
      </c>
      <c r="U171" s="12">
        <v>4.83</v>
      </c>
      <c r="V171" s="12"/>
      <c r="W171" s="12"/>
      <c r="X171" s="12">
        <v>14.829000000000001</v>
      </c>
      <c r="Y171" s="12">
        <v>23.8186</v>
      </c>
      <c r="Z171" s="11">
        <f t="shared" si="2"/>
        <v>19</v>
      </c>
    </row>
    <row r="172" spans="1:26" x14ac:dyDescent="0.2">
      <c r="A172" s="2">
        <v>171</v>
      </c>
      <c r="B172" s="10" t="s">
        <v>363</v>
      </c>
      <c r="C172" s="11" t="s">
        <v>163</v>
      </c>
      <c r="D172" s="11" t="s">
        <v>434</v>
      </c>
      <c r="E172" s="12">
        <v>60.241999999999997</v>
      </c>
      <c r="F172" s="12">
        <v>78.14</v>
      </c>
      <c r="G172" s="12">
        <v>2.13788</v>
      </c>
      <c r="H172" s="12">
        <v>22545000</v>
      </c>
      <c r="I172" s="12">
        <v>3.8180000000000001</v>
      </c>
      <c r="J172" s="12">
        <v>18502000</v>
      </c>
      <c r="K172" s="12">
        <v>0.64980099999999996</v>
      </c>
      <c r="L172" s="12">
        <v>10768100</v>
      </c>
      <c r="M172" s="12">
        <v>3.6160299999999999</v>
      </c>
      <c r="N172" s="12">
        <v>52.91</v>
      </c>
      <c r="O172" s="12">
        <v>76.460599999999999</v>
      </c>
      <c r="P172" s="12">
        <v>66.8</v>
      </c>
      <c r="Q172" s="12">
        <v>27.6296</v>
      </c>
      <c r="R172" s="12">
        <v>50.08</v>
      </c>
      <c r="S172" s="12">
        <v>58.0548</v>
      </c>
      <c r="T172" s="12">
        <v>71.198899999999995</v>
      </c>
      <c r="U172" s="12">
        <v>3.81</v>
      </c>
      <c r="V172" s="12">
        <v>32.887799999999999</v>
      </c>
      <c r="W172" s="12"/>
      <c r="X172" s="12">
        <v>49.92</v>
      </c>
      <c r="Y172" s="12">
        <v>38.182400000000001</v>
      </c>
      <c r="Z172" s="11">
        <f t="shared" si="2"/>
        <v>20</v>
      </c>
    </row>
    <row r="173" spans="1:26" x14ac:dyDescent="0.2">
      <c r="A173" s="2">
        <v>172</v>
      </c>
      <c r="B173" s="10" t="s">
        <v>369</v>
      </c>
      <c r="C173" s="11" t="s">
        <v>169</v>
      </c>
      <c r="D173" s="11" t="s">
        <v>436</v>
      </c>
      <c r="E173" s="12">
        <v>13.669</v>
      </c>
      <c r="F173" s="12">
        <v>99.999399999999994</v>
      </c>
      <c r="G173" s="12">
        <v>1.8162400000000001</v>
      </c>
      <c r="H173" s="14">
        <v>1358730000</v>
      </c>
      <c r="I173" s="12">
        <v>1.61</v>
      </c>
      <c r="J173" s="12">
        <v>6587200</v>
      </c>
      <c r="K173" s="12">
        <v>6.7145200000000003</v>
      </c>
      <c r="L173" s="12">
        <v>4150130</v>
      </c>
      <c r="M173" s="12">
        <v>3.9069600000000002</v>
      </c>
      <c r="N173" s="12">
        <v>109.12</v>
      </c>
      <c r="O173" s="12">
        <v>98.2226</v>
      </c>
      <c r="P173" s="12">
        <v>75.489999999999995</v>
      </c>
      <c r="Q173" s="12">
        <v>50.711599999999997</v>
      </c>
      <c r="R173" s="12">
        <v>57.371000000000002</v>
      </c>
      <c r="S173" s="12">
        <v>83.538300000000007</v>
      </c>
      <c r="T173" s="12">
        <v>111.461</v>
      </c>
      <c r="U173" s="12">
        <v>4.1399999999999997</v>
      </c>
      <c r="V173" s="12">
        <v>4.80769</v>
      </c>
      <c r="W173" s="12">
        <v>3.9445600000000001</v>
      </c>
      <c r="X173" s="12">
        <v>42.628999999999998</v>
      </c>
      <c r="Y173" s="12">
        <v>14.311</v>
      </c>
      <c r="Z173" s="11">
        <f t="shared" si="2"/>
        <v>21</v>
      </c>
    </row>
    <row r="174" spans="1:26" x14ac:dyDescent="0.2">
      <c r="A174" s="2">
        <v>173</v>
      </c>
      <c r="B174" s="10" t="s">
        <v>378</v>
      </c>
      <c r="C174" s="11" t="s">
        <v>178</v>
      </c>
      <c r="D174" s="13" t="s">
        <v>432</v>
      </c>
      <c r="E174" s="12">
        <v>54.515999999999998</v>
      </c>
      <c r="F174" s="12">
        <v>99.1</v>
      </c>
      <c r="G174" s="12"/>
      <c r="H174" s="12">
        <v>711</v>
      </c>
      <c r="I174" s="12">
        <v>2.02</v>
      </c>
      <c r="J174" s="12">
        <v>121354</v>
      </c>
      <c r="K174" s="12">
        <v>6.0805199999999999</v>
      </c>
      <c r="L174" s="12">
        <v>86780</v>
      </c>
      <c r="M174" s="12">
        <v>2.9275600000000002</v>
      </c>
      <c r="N174" s="12">
        <v>2.58</v>
      </c>
      <c r="O174" s="12">
        <v>92.857399999999998</v>
      </c>
      <c r="P174" s="12">
        <v>73.23</v>
      </c>
      <c r="Q174" s="12">
        <v>0</v>
      </c>
      <c r="R174" s="12">
        <v>59.241999999999997</v>
      </c>
      <c r="S174" s="12"/>
      <c r="T174" s="12">
        <v>188.369</v>
      </c>
      <c r="U174" s="12">
        <v>3.8</v>
      </c>
      <c r="V174" s="12"/>
      <c r="W174" s="12"/>
      <c r="X174" s="12">
        <v>40.758000000000003</v>
      </c>
      <c r="Y174" s="12">
        <v>19.9512</v>
      </c>
      <c r="Z174" s="11">
        <f t="shared" si="2"/>
        <v>17</v>
      </c>
    </row>
    <row r="175" spans="1:26" x14ac:dyDescent="0.2">
      <c r="A175" s="2">
        <v>174</v>
      </c>
      <c r="B175" s="10" t="s">
        <v>365</v>
      </c>
      <c r="C175" s="11" t="s">
        <v>165</v>
      </c>
      <c r="D175" s="11" t="s">
        <v>434</v>
      </c>
      <c r="E175" s="12">
        <v>93.591999999999999</v>
      </c>
      <c r="F175" s="12">
        <v>73.459999999999994</v>
      </c>
      <c r="G175" s="12">
        <v>0.67903999999999998</v>
      </c>
      <c r="H175" s="12">
        <v>379079</v>
      </c>
      <c r="I175" s="12">
        <v>3.7909999999999999</v>
      </c>
      <c r="J175" s="12">
        <v>8642020</v>
      </c>
      <c r="K175" s="12">
        <v>0.127278</v>
      </c>
      <c r="L175" s="12">
        <v>5070150</v>
      </c>
      <c r="M175" s="12">
        <v>5.1140499999999998</v>
      </c>
      <c r="N175" s="12"/>
      <c r="O175" s="12">
        <v>98.968400000000003</v>
      </c>
      <c r="P175" s="12">
        <v>51.31</v>
      </c>
      <c r="Q175" s="12">
        <v>13.592599999999999</v>
      </c>
      <c r="R175" s="12">
        <v>44.779000000000003</v>
      </c>
      <c r="S175" s="12">
        <v>18</v>
      </c>
      <c r="T175" s="12">
        <v>64.477800000000002</v>
      </c>
      <c r="U175" s="12">
        <v>3.2</v>
      </c>
      <c r="V175" s="12">
        <v>23.359100000000002</v>
      </c>
      <c r="W175" s="12"/>
      <c r="X175" s="12">
        <v>55.220999999999997</v>
      </c>
      <c r="Y175" s="12">
        <v>38.088700000000003</v>
      </c>
      <c r="Z175" s="11">
        <f t="shared" si="2"/>
        <v>19</v>
      </c>
    </row>
    <row r="176" spans="1:26" x14ac:dyDescent="0.2">
      <c r="A176" s="2">
        <v>175</v>
      </c>
      <c r="B176" s="10" t="s">
        <v>507</v>
      </c>
      <c r="C176" s="11" t="s">
        <v>508</v>
      </c>
      <c r="D176" s="11" t="s">
        <v>517</v>
      </c>
      <c r="E176" s="12">
        <v>2.16</v>
      </c>
      <c r="F176" s="12">
        <v>99.726200000000006</v>
      </c>
      <c r="G176" s="12">
        <v>10.5654</v>
      </c>
      <c r="H176" s="12">
        <v>197388000000</v>
      </c>
      <c r="I176" s="12">
        <v>0.97</v>
      </c>
      <c r="J176" s="12">
        <v>6036860</v>
      </c>
      <c r="K176" s="12">
        <v>7.68668</v>
      </c>
      <c r="L176" s="12">
        <v>4506980</v>
      </c>
      <c r="M176" s="12">
        <v>4.5289400000000004</v>
      </c>
      <c r="N176" s="12">
        <v>502.98</v>
      </c>
      <c r="O176" s="12">
        <v>99.969200000000001</v>
      </c>
      <c r="P176" s="12">
        <v>82.6</v>
      </c>
      <c r="Q176" s="12">
        <v>45.047600000000003</v>
      </c>
      <c r="R176" s="12">
        <v>100</v>
      </c>
      <c r="S176" s="12">
        <v>95.953900000000004</v>
      </c>
      <c r="T176" s="12">
        <v>322.37099999999998</v>
      </c>
      <c r="U176" s="12">
        <v>5.71</v>
      </c>
      <c r="V176" s="12"/>
      <c r="W176" s="12">
        <v>3.9036499999999998</v>
      </c>
      <c r="X176" s="12">
        <v>0</v>
      </c>
      <c r="Y176" s="12">
        <v>11.686199999999999</v>
      </c>
      <c r="Z176" s="11">
        <f t="shared" si="2"/>
        <v>20</v>
      </c>
    </row>
    <row r="177" spans="1:26" x14ac:dyDescent="0.2">
      <c r="A177" s="2">
        <v>176</v>
      </c>
      <c r="B177" s="10" t="s">
        <v>377</v>
      </c>
      <c r="C177" s="11" t="s">
        <v>177</v>
      </c>
      <c r="D177" s="11" t="s">
        <v>518</v>
      </c>
      <c r="E177" s="12">
        <v>17.155999999999999</v>
      </c>
      <c r="F177" s="12"/>
      <c r="G177" s="12"/>
      <c r="H177" s="12"/>
      <c r="I177" s="12">
        <v>1.4470000000000001</v>
      </c>
      <c r="J177" s="12">
        <v>43350</v>
      </c>
      <c r="K177" s="12"/>
      <c r="L177" s="12">
        <v>30745</v>
      </c>
      <c r="M177" s="12">
        <v>2.7601599999999999</v>
      </c>
      <c r="N177" s="12"/>
      <c r="O177" s="12"/>
      <c r="P177" s="12"/>
      <c r="Q177" s="12">
        <v>0</v>
      </c>
      <c r="R177" s="12">
        <v>100</v>
      </c>
      <c r="S177" s="12"/>
      <c r="T177" s="12"/>
      <c r="U177" s="12"/>
      <c r="V177" s="12"/>
      <c r="W177" s="12"/>
      <c r="X177" s="12">
        <v>0</v>
      </c>
      <c r="Y177" s="12">
        <v>15.135899999999999</v>
      </c>
      <c r="Z177" s="11">
        <f t="shared" si="2"/>
        <v>9</v>
      </c>
    </row>
    <row r="178" spans="1:26" x14ac:dyDescent="0.2">
      <c r="A178" s="2">
        <v>177</v>
      </c>
      <c r="B178" s="10" t="s">
        <v>373</v>
      </c>
      <c r="C178" s="11" t="s">
        <v>173</v>
      </c>
      <c r="D178" s="11" t="s">
        <v>436</v>
      </c>
      <c r="E178" s="12">
        <v>24.59</v>
      </c>
      <c r="F178" s="12"/>
      <c r="G178" s="12">
        <v>4.4248000000000003</v>
      </c>
      <c r="H178" s="14">
        <v>10122800000</v>
      </c>
      <c r="I178" s="12">
        <v>1.49</v>
      </c>
      <c r="J178" s="12">
        <v>5422070</v>
      </c>
      <c r="K178" s="12">
        <v>5.3190499999999998</v>
      </c>
      <c r="L178" s="12">
        <v>3562380</v>
      </c>
      <c r="M178" s="12">
        <v>1.43655</v>
      </c>
      <c r="N178" s="12">
        <v>169.97</v>
      </c>
      <c r="O178" s="12">
        <v>83.153599999999997</v>
      </c>
      <c r="P178" s="12">
        <v>77.209999999999994</v>
      </c>
      <c r="Q178" s="12">
        <v>73.611099999999993</v>
      </c>
      <c r="R178" s="12">
        <v>54.171999999999997</v>
      </c>
      <c r="S178" s="12">
        <v>88.925600000000003</v>
      </c>
      <c r="T178" s="12">
        <v>170.244</v>
      </c>
      <c r="U178" s="12">
        <v>4.33</v>
      </c>
      <c r="V178" s="12">
        <v>3.6723699999999999</v>
      </c>
      <c r="W178" s="12">
        <v>1.9599800000000001</v>
      </c>
      <c r="X178" s="12">
        <v>45.828000000000003</v>
      </c>
      <c r="Y178" s="12">
        <v>15.761200000000001</v>
      </c>
      <c r="Z178" s="11">
        <f t="shared" si="2"/>
        <v>20</v>
      </c>
    </row>
    <row r="179" spans="1:26" x14ac:dyDescent="0.2">
      <c r="A179" s="2">
        <v>178</v>
      </c>
      <c r="B179" s="10" t="s">
        <v>374</v>
      </c>
      <c r="C179" s="11" t="s">
        <v>174</v>
      </c>
      <c r="D179" s="13" t="s">
        <v>435</v>
      </c>
      <c r="E179" s="12">
        <v>3.496</v>
      </c>
      <c r="F179" s="12">
        <v>99.8</v>
      </c>
      <c r="G179" s="12">
        <v>21.033100000000001</v>
      </c>
      <c r="H179" s="12">
        <v>4206750000</v>
      </c>
      <c r="I179" s="12">
        <v>1.51</v>
      </c>
      <c r="J179" s="12">
        <v>2126320</v>
      </c>
      <c r="K179" s="12">
        <v>5.9347399999999997</v>
      </c>
      <c r="L179" s="12">
        <v>1350490</v>
      </c>
      <c r="M179" s="12">
        <v>2.3129200000000001</v>
      </c>
      <c r="N179" s="12">
        <v>67.55</v>
      </c>
      <c r="O179" s="12">
        <v>98.310500000000005</v>
      </c>
      <c r="P179" s="12">
        <v>81.08</v>
      </c>
      <c r="Q179" s="12">
        <v>0</v>
      </c>
      <c r="R179" s="12">
        <v>56.438000000000002</v>
      </c>
      <c r="S179" s="12">
        <v>88.912400000000005</v>
      </c>
      <c r="T179" s="12">
        <v>156.482</v>
      </c>
      <c r="U179" s="12">
        <v>4.4800000000000004</v>
      </c>
      <c r="V179" s="12"/>
      <c r="W179" s="12"/>
      <c r="X179" s="12">
        <v>43.561999999999998</v>
      </c>
      <c r="Y179" s="12">
        <v>14.7149</v>
      </c>
      <c r="Z179" s="11">
        <f t="shared" si="2"/>
        <v>19</v>
      </c>
    </row>
    <row r="180" spans="1:26" x14ac:dyDescent="0.2">
      <c r="A180" s="2">
        <v>179</v>
      </c>
      <c r="B180" s="10" t="s">
        <v>364</v>
      </c>
      <c r="C180" s="11" t="s">
        <v>164</v>
      </c>
      <c r="D180" s="13" t="s">
        <v>438</v>
      </c>
      <c r="E180" s="12">
        <v>50.372</v>
      </c>
      <c r="F180" s="12"/>
      <c r="G180" s="12"/>
      <c r="H180" s="12">
        <v>171263</v>
      </c>
      <c r="I180" s="12">
        <v>3.5569999999999999</v>
      </c>
      <c r="J180" s="12">
        <v>819198</v>
      </c>
      <c r="K180" s="12">
        <v>0.32306600000000002</v>
      </c>
      <c r="L180" s="12">
        <v>486528</v>
      </c>
      <c r="M180" s="12">
        <v>5.5567500000000001</v>
      </c>
      <c r="N180" s="12"/>
      <c r="O180" s="12">
        <v>67.4726</v>
      </c>
      <c r="P180" s="12"/>
      <c r="Q180" s="12">
        <v>11.9841</v>
      </c>
      <c r="R180" s="12">
        <v>26.488</v>
      </c>
      <c r="S180" s="12"/>
      <c r="T180" s="12">
        <v>78.035899999999998</v>
      </c>
      <c r="U180" s="12"/>
      <c r="V180" s="12"/>
      <c r="W180" s="12"/>
      <c r="X180" s="12">
        <v>73.512</v>
      </c>
      <c r="Y180" s="12">
        <v>36.970399999999998</v>
      </c>
      <c r="Z180" s="11">
        <f t="shared" si="2"/>
        <v>13</v>
      </c>
    </row>
    <row r="181" spans="1:26" x14ac:dyDescent="0.2">
      <c r="A181" s="2">
        <v>180</v>
      </c>
      <c r="B181" s="10" t="s">
        <v>368</v>
      </c>
      <c r="C181" s="11" t="s">
        <v>168</v>
      </c>
      <c r="D181" s="11" t="s">
        <v>440</v>
      </c>
      <c r="E181" s="12">
        <v>117.1</v>
      </c>
      <c r="F181" s="12">
        <v>70.474999999999994</v>
      </c>
      <c r="G181" s="12"/>
      <c r="H181" s="12"/>
      <c r="I181" s="12">
        <v>6.1319999999999997</v>
      </c>
      <c r="J181" s="12">
        <v>19009200</v>
      </c>
      <c r="K181" s="12">
        <v>3.9934699999999997E-2</v>
      </c>
      <c r="L181" s="12">
        <v>9659540</v>
      </c>
      <c r="M181" s="12"/>
      <c r="N181" s="12"/>
      <c r="O181" s="12">
        <v>14.4542</v>
      </c>
      <c r="P181" s="12"/>
      <c r="Q181" s="12">
        <v>3.8333300000000001</v>
      </c>
      <c r="R181" s="12">
        <v>48.518999999999998</v>
      </c>
      <c r="S181" s="12"/>
      <c r="T181" s="12">
        <v>94.360299999999995</v>
      </c>
      <c r="U181" s="12"/>
      <c r="V181" s="12"/>
      <c r="W181" s="12"/>
      <c r="X181" s="12">
        <v>51.481000000000002</v>
      </c>
      <c r="Y181" s="12">
        <v>46.593200000000003</v>
      </c>
      <c r="Z181" s="11">
        <f t="shared" si="2"/>
        <v>12</v>
      </c>
    </row>
    <row r="182" spans="1:26" x14ac:dyDescent="0.2">
      <c r="A182" s="2">
        <v>181</v>
      </c>
      <c r="B182" s="10" t="s">
        <v>401</v>
      </c>
      <c r="C182" s="11" t="s">
        <v>204</v>
      </c>
      <c r="D182" s="11" t="s">
        <v>432</v>
      </c>
      <c r="E182" s="12">
        <v>51.56</v>
      </c>
      <c r="F182" s="12">
        <v>96.695899999999995</v>
      </c>
      <c r="G182" s="12">
        <v>17.087299999999999</v>
      </c>
      <c r="H182" s="12">
        <v>2453910000</v>
      </c>
      <c r="I182" s="12">
        <v>2.2160000000000002</v>
      </c>
      <c r="J182" s="12">
        <v>64007200</v>
      </c>
      <c r="K182" s="12">
        <v>6.6875600000000004</v>
      </c>
      <c r="L182" s="12">
        <v>43157300</v>
      </c>
      <c r="M182" s="12">
        <v>2.0165000000000002</v>
      </c>
      <c r="N182" s="12">
        <v>701.72</v>
      </c>
      <c r="O182" s="12">
        <v>92.449399999999997</v>
      </c>
      <c r="P182" s="12">
        <v>57.44</v>
      </c>
      <c r="Q182" s="12">
        <v>54.018500000000003</v>
      </c>
      <c r="R182" s="12">
        <v>69.298000000000002</v>
      </c>
      <c r="S182" s="12">
        <v>72.310500000000005</v>
      </c>
      <c r="T182" s="12">
        <v>61.702599999999997</v>
      </c>
      <c r="U182" s="12">
        <v>4.32</v>
      </c>
      <c r="V182" s="12">
        <v>53.635199999999998</v>
      </c>
      <c r="W182" s="12"/>
      <c r="X182" s="12">
        <v>30.702000000000002</v>
      </c>
      <c r="Y182" s="12">
        <v>25.883800000000001</v>
      </c>
      <c r="Z182" s="11">
        <f t="shared" si="2"/>
        <v>20</v>
      </c>
    </row>
    <row r="183" spans="1:26" x14ac:dyDescent="0.2">
      <c r="A183" s="2">
        <v>182</v>
      </c>
      <c r="B183" s="10" t="s">
        <v>427</v>
      </c>
      <c r="C183" s="11" t="s">
        <v>104</v>
      </c>
      <c r="D183" s="11" t="s">
        <v>437</v>
      </c>
      <c r="E183" s="12">
        <v>0.53700000000000003</v>
      </c>
      <c r="F183" s="12">
        <v>100</v>
      </c>
      <c r="G183" s="12">
        <v>4.9101900000000001</v>
      </c>
      <c r="H183" s="12">
        <v>163050000000</v>
      </c>
      <c r="I183" s="12">
        <v>0.72099999999999997</v>
      </c>
      <c r="J183" s="12">
        <v>51751100</v>
      </c>
      <c r="K183" s="12">
        <v>10.99</v>
      </c>
      <c r="L183" s="12">
        <v>36307700</v>
      </c>
      <c r="M183" s="12">
        <v>3.0845500000000001</v>
      </c>
      <c r="N183" s="12">
        <v>1898.95</v>
      </c>
      <c r="O183" s="12">
        <v>97.547700000000006</v>
      </c>
      <c r="P183" s="12">
        <v>82.16</v>
      </c>
      <c r="Q183" s="12">
        <v>61.240699999999997</v>
      </c>
      <c r="R183" s="12">
        <v>81.498000000000005</v>
      </c>
      <c r="S183" s="12">
        <v>97.168599999999998</v>
      </c>
      <c r="T183" s="12">
        <v>87.939700000000002</v>
      </c>
      <c r="U183" s="12">
        <v>5.07</v>
      </c>
      <c r="V183" s="12">
        <v>1.3392900000000001</v>
      </c>
      <c r="W183" s="12">
        <v>4.6586299999999996</v>
      </c>
      <c r="X183" s="12">
        <v>18.501999999999999</v>
      </c>
      <c r="Y183" s="12">
        <v>10.568099999999999</v>
      </c>
      <c r="Z183" s="11">
        <f t="shared" si="2"/>
        <v>21</v>
      </c>
    </row>
    <row r="184" spans="1:26" x14ac:dyDescent="0.2">
      <c r="A184" s="2">
        <v>183</v>
      </c>
      <c r="B184" s="10" t="s">
        <v>370</v>
      </c>
      <c r="C184" s="11" t="s">
        <v>170</v>
      </c>
      <c r="D184" s="11" t="s">
        <v>434</v>
      </c>
      <c r="E184" s="12">
        <v>97.132000000000005</v>
      </c>
      <c r="F184" s="12">
        <v>47.901000000000003</v>
      </c>
      <c r="G184" s="12"/>
      <c r="H184" s="12"/>
      <c r="I184" s="12">
        <v>3.8639999999999999</v>
      </c>
      <c r="J184" s="12">
        <v>11943400</v>
      </c>
      <c r="K184" s="12">
        <v>0.16430900000000001</v>
      </c>
      <c r="L184" s="12">
        <v>6938030</v>
      </c>
      <c r="M184" s="12">
        <v>11.047499999999999</v>
      </c>
      <c r="N184" s="12"/>
      <c r="O184" s="12">
        <v>35.250700000000002</v>
      </c>
      <c r="P184" s="12"/>
      <c r="Q184" s="12">
        <v>3.3333300000000001</v>
      </c>
      <c r="R184" s="12">
        <v>21.56</v>
      </c>
      <c r="S184" s="12"/>
      <c r="T184" s="12">
        <v>65.551299999999998</v>
      </c>
      <c r="U184" s="12"/>
      <c r="V184" s="12"/>
      <c r="W184" s="12"/>
      <c r="X184" s="12">
        <v>78.44</v>
      </c>
      <c r="Y184" s="12">
        <v>38.917499999999997</v>
      </c>
      <c r="Z184" s="11">
        <f t="shared" si="2"/>
        <v>13</v>
      </c>
    </row>
    <row r="185" spans="1:26" x14ac:dyDescent="0.2">
      <c r="A185" s="2">
        <v>184</v>
      </c>
      <c r="B185" s="10" t="s">
        <v>274</v>
      </c>
      <c r="C185" s="11" t="s">
        <v>60</v>
      </c>
      <c r="D185" s="13" t="s">
        <v>435</v>
      </c>
      <c r="E185" s="12">
        <v>4.8090000000000002</v>
      </c>
      <c r="F185" s="12">
        <v>99.621399999999994</v>
      </c>
      <c r="G185" s="12">
        <v>54.911900000000003</v>
      </c>
      <c r="H185" s="12">
        <v>25806000000</v>
      </c>
      <c r="I185" s="12">
        <v>1.1200000000000001</v>
      </c>
      <c r="J185" s="12">
        <v>48807100</v>
      </c>
      <c r="K185" s="12">
        <v>4.2795899999999998</v>
      </c>
      <c r="L185" s="12">
        <v>32179900</v>
      </c>
      <c r="M185" s="12">
        <v>4.4055600000000004</v>
      </c>
      <c r="N185" s="12">
        <v>1657.27</v>
      </c>
      <c r="O185" s="12">
        <v>97.342600000000004</v>
      </c>
      <c r="P185" s="12">
        <v>83.38</v>
      </c>
      <c r="Q185" s="12">
        <v>83.333299999999994</v>
      </c>
      <c r="R185" s="12">
        <v>81.802000000000007</v>
      </c>
      <c r="S185" s="12">
        <v>94.485500000000002</v>
      </c>
      <c r="T185" s="12">
        <v>70.305000000000007</v>
      </c>
      <c r="U185" s="12">
        <v>4.7</v>
      </c>
      <c r="V185" s="12"/>
      <c r="W185" s="12"/>
      <c r="X185" s="12">
        <v>18.198</v>
      </c>
      <c r="Y185" s="12">
        <v>12.9217</v>
      </c>
      <c r="Z185" s="11">
        <f t="shared" si="2"/>
        <v>19</v>
      </c>
    </row>
    <row r="186" spans="1:26" x14ac:dyDescent="0.2">
      <c r="A186" s="2">
        <v>185</v>
      </c>
      <c r="B186" s="10" t="s">
        <v>319</v>
      </c>
      <c r="C186" s="11" t="s">
        <v>111</v>
      </c>
      <c r="D186" s="11" t="s">
        <v>437</v>
      </c>
      <c r="E186" s="12">
        <v>15.090999999999999</v>
      </c>
      <c r="F186" s="12">
        <v>98.932299999999998</v>
      </c>
      <c r="G186" s="12">
        <v>9.6893100000000008</v>
      </c>
      <c r="H186" s="12">
        <v>112381000</v>
      </c>
      <c r="I186" s="12">
        <v>1.974</v>
      </c>
      <c r="J186" s="12">
        <v>21916000</v>
      </c>
      <c r="K186" s="12">
        <v>0.99668299999999999</v>
      </c>
      <c r="L186" s="12">
        <v>14435100</v>
      </c>
      <c r="M186" s="12">
        <v>4.3948600000000004</v>
      </c>
      <c r="N186" s="12">
        <v>258.27999999999997</v>
      </c>
      <c r="O186" s="12">
        <v>99.273499999999999</v>
      </c>
      <c r="P186" s="12">
        <v>74.95</v>
      </c>
      <c r="Q186" s="12">
        <v>41.0899</v>
      </c>
      <c r="R186" s="12">
        <v>19.416</v>
      </c>
      <c r="S186" s="12">
        <v>44.453099999999999</v>
      </c>
      <c r="T186" s="12">
        <v>42.397500000000001</v>
      </c>
      <c r="U186" s="12">
        <v>4.08</v>
      </c>
      <c r="V186" s="12"/>
      <c r="W186" s="12"/>
      <c r="X186" s="12">
        <v>80.584000000000003</v>
      </c>
      <c r="Y186" s="12">
        <v>22.0303</v>
      </c>
      <c r="Z186" s="11">
        <f t="shared" si="2"/>
        <v>19</v>
      </c>
    </row>
    <row r="187" spans="1:26" x14ac:dyDescent="0.2">
      <c r="A187" s="2">
        <v>186</v>
      </c>
      <c r="B187" s="10" t="s">
        <v>433</v>
      </c>
      <c r="C187" s="11" t="s">
        <v>162</v>
      </c>
      <c r="D187" s="11" t="s">
        <v>440</v>
      </c>
      <c r="E187" s="12">
        <v>66.070999999999998</v>
      </c>
      <c r="F187" s="12">
        <v>73</v>
      </c>
      <c r="G187" s="12"/>
      <c r="H187" s="12">
        <v>869554</v>
      </c>
      <c r="I187" s="12">
        <v>4.3230000000000004</v>
      </c>
      <c r="J187" s="12">
        <v>50449000</v>
      </c>
      <c r="K187" s="12">
        <v>0.46795399999999998</v>
      </c>
      <c r="L187" s="12">
        <v>28365900</v>
      </c>
      <c r="M187" s="12">
        <v>0.15781800000000001</v>
      </c>
      <c r="N187" s="12"/>
      <c r="O187" s="12">
        <v>61.698799999999999</v>
      </c>
      <c r="P187" s="12"/>
      <c r="Q187" s="12">
        <v>10.912699999999999</v>
      </c>
      <c r="R187" s="12">
        <v>36.752000000000002</v>
      </c>
      <c r="S187" s="12"/>
      <c r="T187" s="12">
        <v>2.4615200000000002</v>
      </c>
      <c r="U187" s="12"/>
      <c r="V187" s="12">
        <v>35.795000000000002</v>
      </c>
      <c r="W187" s="12"/>
      <c r="X187" s="12">
        <v>63.247999999999998</v>
      </c>
      <c r="Y187" s="12">
        <v>40.471400000000003</v>
      </c>
      <c r="Z187" s="11">
        <f t="shared" si="2"/>
        <v>15</v>
      </c>
    </row>
    <row r="188" spans="1:26" x14ac:dyDescent="0.2">
      <c r="A188" s="2">
        <v>187</v>
      </c>
      <c r="B188" s="10" t="s">
        <v>372</v>
      </c>
      <c r="C188" s="11" t="s">
        <v>172</v>
      </c>
      <c r="D188" s="11" t="s">
        <v>519</v>
      </c>
      <c r="E188" s="12">
        <v>48.031999999999996</v>
      </c>
      <c r="F188" s="12">
        <v>98.9</v>
      </c>
      <c r="G188" s="12"/>
      <c r="H188" s="12">
        <v>5300350</v>
      </c>
      <c r="I188" s="12">
        <v>2.2490000000000001</v>
      </c>
      <c r="J188" s="12">
        <v>634431</v>
      </c>
      <c r="K188" s="12">
        <v>4.2850799999999998</v>
      </c>
      <c r="L188" s="12">
        <v>421653</v>
      </c>
      <c r="M188" s="12">
        <v>3.4687299999999999</v>
      </c>
      <c r="N188" s="12"/>
      <c r="O188" s="12">
        <v>86.025300000000001</v>
      </c>
      <c r="P188" s="12">
        <v>70.81</v>
      </c>
      <c r="Q188" s="12">
        <v>0</v>
      </c>
      <c r="R188" s="12">
        <v>66.533000000000001</v>
      </c>
      <c r="S188" s="12"/>
      <c r="T188" s="12">
        <v>90.961399999999998</v>
      </c>
      <c r="U188" s="12">
        <v>3.71</v>
      </c>
      <c r="V188" s="12"/>
      <c r="W188" s="12"/>
      <c r="X188" s="12">
        <v>33.466999999999999</v>
      </c>
      <c r="Y188" s="12">
        <v>25.639199999999999</v>
      </c>
      <c r="Z188" s="11">
        <f t="shared" si="2"/>
        <v>16</v>
      </c>
    </row>
    <row r="189" spans="1:26" x14ac:dyDescent="0.2">
      <c r="A189" s="2">
        <v>188</v>
      </c>
      <c r="B189" s="10" t="s">
        <v>375</v>
      </c>
      <c r="C189" s="11" t="s">
        <v>175</v>
      </c>
      <c r="D189" s="11" t="s">
        <v>431</v>
      </c>
      <c r="E189" s="12">
        <v>1.792</v>
      </c>
      <c r="F189" s="12"/>
      <c r="G189" s="12">
        <v>28.571100000000001</v>
      </c>
      <c r="H189" s="12">
        <v>25152700000</v>
      </c>
      <c r="I189" s="12">
        <v>1.45</v>
      </c>
      <c r="J189" s="12">
        <v>10569700</v>
      </c>
      <c r="K189" s="12">
        <v>3.2429899999999998</v>
      </c>
      <c r="L189" s="12">
        <v>6581490</v>
      </c>
      <c r="M189" s="12">
        <v>7.10717</v>
      </c>
      <c r="N189" s="12">
        <v>481.81</v>
      </c>
      <c r="O189" s="12">
        <v>99.424199999999999</v>
      </c>
      <c r="P189" s="12">
        <v>82.55</v>
      </c>
      <c r="Q189" s="12">
        <v>83.158699999999996</v>
      </c>
      <c r="R189" s="12">
        <v>88.975999999999999</v>
      </c>
      <c r="S189" s="12">
        <v>95.009699999999995</v>
      </c>
      <c r="T189" s="12">
        <v>104.81100000000001</v>
      </c>
      <c r="U189" s="12">
        <v>5.52</v>
      </c>
      <c r="V189" s="12"/>
      <c r="W189" s="12"/>
      <c r="X189" s="12">
        <v>11.023999999999999</v>
      </c>
      <c r="Y189" s="12">
        <v>16.985800000000001</v>
      </c>
      <c r="Z189" s="11">
        <f t="shared" si="2"/>
        <v>18</v>
      </c>
    </row>
    <row r="190" spans="1:26" x14ac:dyDescent="0.2">
      <c r="A190" s="2">
        <v>189</v>
      </c>
      <c r="B190" s="10" t="s">
        <v>254</v>
      </c>
      <c r="C190" s="11" t="s">
        <v>34</v>
      </c>
      <c r="D190" s="11" t="s">
        <v>431</v>
      </c>
      <c r="E190" s="12">
        <v>1.4830000000000001</v>
      </c>
      <c r="F190" s="12"/>
      <c r="G190" s="12">
        <v>42.695599999999999</v>
      </c>
      <c r="H190" s="12">
        <v>89544600000</v>
      </c>
      <c r="I190" s="12">
        <v>1.33</v>
      </c>
      <c r="J190" s="12">
        <v>9034100</v>
      </c>
      <c r="K190" s="12">
        <v>4.0420699999999998</v>
      </c>
      <c r="L190" s="12">
        <v>5874890</v>
      </c>
      <c r="M190" s="12">
        <v>2.4127999999999998</v>
      </c>
      <c r="N190" s="12">
        <v>487.54</v>
      </c>
      <c r="O190" s="12">
        <v>99.623099999999994</v>
      </c>
      <c r="P190" s="12">
        <v>83.2</v>
      </c>
      <c r="Q190" s="12">
        <v>76.306899999999999</v>
      </c>
      <c r="R190" s="12">
        <v>74.326999999999998</v>
      </c>
      <c r="S190" s="12">
        <v>95.569400000000002</v>
      </c>
      <c r="T190" s="12">
        <v>134.095</v>
      </c>
      <c r="U190" s="12">
        <v>5.86</v>
      </c>
      <c r="V190" s="12"/>
      <c r="W190" s="12"/>
      <c r="X190" s="12">
        <v>25.672999999999998</v>
      </c>
      <c r="Y190" s="12">
        <v>14.950799999999999</v>
      </c>
      <c r="Z190" s="11">
        <f t="shared" si="2"/>
        <v>18</v>
      </c>
    </row>
    <row r="191" spans="1:26" x14ac:dyDescent="0.2">
      <c r="A191" s="2">
        <v>190</v>
      </c>
      <c r="B191" s="10" t="s">
        <v>379</v>
      </c>
      <c r="C191" s="11" t="s">
        <v>179</v>
      </c>
      <c r="D191" s="11" t="s">
        <v>440</v>
      </c>
      <c r="E191" s="12">
        <v>38.909999999999997</v>
      </c>
      <c r="F191" s="12">
        <v>96.1</v>
      </c>
      <c r="G191" s="12"/>
      <c r="H191" s="12">
        <v>38812400</v>
      </c>
      <c r="I191" s="12">
        <v>2.7120000000000002</v>
      </c>
      <c r="J191" s="12">
        <v>24672800</v>
      </c>
      <c r="K191" s="12">
        <v>1.2148000000000001</v>
      </c>
      <c r="L191" s="12">
        <v>16307400</v>
      </c>
      <c r="M191" s="12">
        <v>8.2333800000000004</v>
      </c>
      <c r="N191" s="12"/>
      <c r="O191" s="12">
        <v>72.249600000000001</v>
      </c>
      <c r="P191" s="12">
        <v>74.42</v>
      </c>
      <c r="Q191" s="12">
        <v>0</v>
      </c>
      <c r="R191" s="12">
        <v>58.043999999999997</v>
      </c>
      <c r="S191" s="12"/>
      <c r="T191" s="12">
        <v>35.609499999999997</v>
      </c>
      <c r="U191" s="12">
        <v>3.85</v>
      </c>
      <c r="V191" s="12"/>
      <c r="W191" s="12"/>
      <c r="X191" s="12">
        <v>41.956000000000003</v>
      </c>
      <c r="Y191" s="12">
        <v>29.163399999999999</v>
      </c>
      <c r="Z191" s="11">
        <f t="shared" si="2"/>
        <v>16</v>
      </c>
    </row>
    <row r="192" spans="1:26" x14ac:dyDescent="0.2">
      <c r="A192" s="2">
        <v>191</v>
      </c>
      <c r="B192" s="10" t="s">
        <v>389</v>
      </c>
      <c r="C192" s="11" t="s">
        <v>190</v>
      </c>
      <c r="D192" s="11" t="s">
        <v>437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>
        <v>1112.46</v>
      </c>
      <c r="O192" s="12"/>
      <c r="P192" s="12">
        <v>80.099999999999994</v>
      </c>
      <c r="Q192" s="12">
        <v>0</v>
      </c>
      <c r="R192" s="12"/>
      <c r="S192" s="12"/>
      <c r="T192" s="12"/>
      <c r="U192" s="12">
        <v>5.33</v>
      </c>
      <c r="V192" s="12"/>
      <c r="W192" s="12">
        <v>7.7372300000000003</v>
      </c>
      <c r="X192" s="12"/>
      <c r="Y192" s="12"/>
      <c r="Z192" s="11">
        <f t="shared" si="2"/>
        <v>5</v>
      </c>
    </row>
    <row r="193" spans="1:26" x14ac:dyDescent="0.2">
      <c r="A193" s="2">
        <v>192</v>
      </c>
      <c r="B193" s="10" t="s">
        <v>382</v>
      </c>
      <c r="C193" s="11" t="s">
        <v>183</v>
      </c>
      <c r="D193" s="11" t="s">
        <v>437</v>
      </c>
      <c r="E193" s="12">
        <v>40.436999999999998</v>
      </c>
      <c r="F193" s="12">
        <v>98.81</v>
      </c>
      <c r="G193" s="12">
        <v>0.32588</v>
      </c>
      <c r="H193" s="12">
        <v>3026690</v>
      </c>
      <c r="I193" s="12">
        <v>3.0720000000000001</v>
      </c>
      <c r="J193" s="12">
        <v>10590900</v>
      </c>
      <c r="K193" s="12">
        <v>0.97753299999999999</v>
      </c>
      <c r="L193" s="12">
        <v>6342580</v>
      </c>
      <c r="M193" s="12">
        <v>0.34554800000000002</v>
      </c>
      <c r="N193" s="12">
        <v>27.65</v>
      </c>
      <c r="O193" s="12">
        <v>99.096100000000007</v>
      </c>
      <c r="P193" s="12">
        <v>69.77</v>
      </c>
      <c r="Q193" s="12">
        <v>16.465599999999998</v>
      </c>
      <c r="R193" s="12">
        <v>28.523</v>
      </c>
      <c r="S193" s="12">
        <v>21.96</v>
      </c>
      <c r="T193" s="12">
        <v>65.634699999999995</v>
      </c>
      <c r="U193" s="12">
        <v>4.1399999999999997</v>
      </c>
      <c r="V193" s="12">
        <v>6.6494</v>
      </c>
      <c r="W193" s="12">
        <v>0.79545500000000002</v>
      </c>
      <c r="X193" s="12">
        <v>71.477000000000004</v>
      </c>
      <c r="Y193" s="12">
        <v>36.261400000000002</v>
      </c>
      <c r="Z193" s="11">
        <f t="shared" si="2"/>
        <v>21</v>
      </c>
    </row>
    <row r="194" spans="1:26" x14ac:dyDescent="0.2">
      <c r="A194" s="2">
        <v>193</v>
      </c>
      <c r="B194" s="10" t="s">
        <v>390</v>
      </c>
      <c r="C194" s="11" t="s">
        <v>191</v>
      </c>
      <c r="D194" s="13" t="s">
        <v>432</v>
      </c>
      <c r="E194" s="12">
        <v>113.209</v>
      </c>
      <c r="F194" s="12">
        <v>88.4</v>
      </c>
      <c r="G194" s="12">
        <v>8.7229100000000006</v>
      </c>
      <c r="H194" s="12">
        <v>43110700</v>
      </c>
      <c r="I194" s="12">
        <v>4.6059999999999999</v>
      </c>
      <c r="J194" s="12">
        <v>68560200</v>
      </c>
      <c r="K194" s="12">
        <v>0.23394599999999999</v>
      </c>
      <c r="L194" s="12">
        <v>37309700</v>
      </c>
      <c r="M194" s="12">
        <v>7.0956099999999998</v>
      </c>
      <c r="N194" s="12">
        <v>156.25</v>
      </c>
      <c r="O194" s="12">
        <v>82.350899999999996</v>
      </c>
      <c r="P194" s="12">
        <v>65.489999999999995</v>
      </c>
      <c r="Q194" s="12">
        <v>22.497399999999999</v>
      </c>
      <c r="R194" s="12">
        <v>38.136000000000003</v>
      </c>
      <c r="S194" s="12">
        <v>31.633099999999999</v>
      </c>
      <c r="T194" s="12">
        <v>41.513100000000001</v>
      </c>
      <c r="U194" s="12">
        <v>3.71</v>
      </c>
      <c r="V194" s="12">
        <v>19.2346</v>
      </c>
      <c r="W194" s="12"/>
      <c r="X194" s="12">
        <v>61.863999999999997</v>
      </c>
      <c r="Y194" s="12">
        <v>42.536099999999998</v>
      </c>
      <c r="Z194" s="11">
        <f t="shared" ref="Z194:Z220" si="3">COUNT(E194:Y194)</f>
        <v>20</v>
      </c>
    </row>
    <row r="195" spans="1:26" x14ac:dyDescent="0.2">
      <c r="A195" s="2">
        <v>194</v>
      </c>
      <c r="B195" s="10" t="s">
        <v>509</v>
      </c>
      <c r="C195" s="11" t="s">
        <v>510</v>
      </c>
      <c r="D195" s="11" t="s">
        <v>517</v>
      </c>
      <c r="E195" s="12">
        <v>26.145</v>
      </c>
      <c r="F195" s="12">
        <v>98.8</v>
      </c>
      <c r="G195" s="12">
        <v>29.139700000000001</v>
      </c>
      <c r="H195" s="12">
        <v>61347400000</v>
      </c>
      <c r="I195" s="12">
        <v>1.212</v>
      </c>
      <c r="J195" s="12">
        <v>71668000</v>
      </c>
      <c r="K195" s="12">
        <v>3.7142599999999999</v>
      </c>
      <c r="L195" s="12">
        <v>50087200</v>
      </c>
      <c r="M195" s="12">
        <v>1.5863100000000001</v>
      </c>
      <c r="N195" s="12">
        <v>1173.67</v>
      </c>
      <c r="O195" s="12">
        <v>98.082499999999996</v>
      </c>
      <c r="P195" s="12">
        <v>74.599999999999994</v>
      </c>
      <c r="Q195" s="12">
        <v>49.592599999999997</v>
      </c>
      <c r="R195" s="12">
        <v>54.32</v>
      </c>
      <c r="S195" s="12">
        <v>87.9773</v>
      </c>
      <c r="T195" s="12">
        <v>136.77500000000001</v>
      </c>
      <c r="U195" s="12">
        <v>4.72</v>
      </c>
      <c r="V195" s="12"/>
      <c r="W195" s="12">
        <v>11.952</v>
      </c>
      <c r="X195" s="12">
        <v>45.68</v>
      </c>
      <c r="Y195" s="12">
        <v>14.749499999999999</v>
      </c>
      <c r="Z195" s="11">
        <f t="shared" si="3"/>
        <v>20</v>
      </c>
    </row>
    <row r="196" spans="1:26" x14ac:dyDescent="0.2">
      <c r="A196" s="2">
        <v>195</v>
      </c>
      <c r="B196" s="10" t="s">
        <v>511</v>
      </c>
      <c r="C196" s="11" t="s">
        <v>512</v>
      </c>
      <c r="D196" s="11" t="s">
        <v>517</v>
      </c>
      <c r="E196" s="12">
        <v>27.405999999999999</v>
      </c>
      <c r="F196" s="12">
        <v>85.1</v>
      </c>
      <c r="G196" s="12"/>
      <c r="H196" s="12"/>
      <c r="I196" s="12">
        <v>2.7069999999999999</v>
      </c>
      <c r="J196" s="12">
        <v>1400640</v>
      </c>
      <c r="K196" s="12">
        <v>0.34315499999999999</v>
      </c>
      <c r="L196" s="12">
        <v>855284</v>
      </c>
      <c r="M196" s="12">
        <v>4.5968099999999996</v>
      </c>
      <c r="N196" s="12"/>
      <c r="O196" s="12">
        <v>95.414199999999994</v>
      </c>
      <c r="P196" s="12">
        <v>67.02</v>
      </c>
      <c r="Q196" s="12">
        <v>0</v>
      </c>
      <c r="R196" s="12">
        <v>32.841999999999999</v>
      </c>
      <c r="S196" s="12"/>
      <c r="T196" s="12">
        <v>89.300600000000003</v>
      </c>
      <c r="U196" s="12">
        <v>3.17</v>
      </c>
      <c r="V196" s="12"/>
      <c r="W196" s="12"/>
      <c r="X196" s="12">
        <v>67.158000000000001</v>
      </c>
      <c r="Y196" s="12">
        <v>33.6584</v>
      </c>
      <c r="Z196" s="11">
        <f t="shared" si="3"/>
        <v>15</v>
      </c>
    </row>
    <row r="197" spans="1:26" x14ac:dyDescent="0.2">
      <c r="A197" s="2">
        <v>196</v>
      </c>
      <c r="B197" s="10" t="s">
        <v>381</v>
      </c>
      <c r="C197" s="11" t="s">
        <v>182</v>
      </c>
      <c r="D197" s="11" t="s">
        <v>434</v>
      </c>
      <c r="E197" s="12">
        <v>77.05</v>
      </c>
      <c r="F197" s="12">
        <v>87.891400000000004</v>
      </c>
      <c r="G197" s="12"/>
      <c r="H197" s="12">
        <v>2229080</v>
      </c>
      <c r="I197" s="12">
        <v>4.1920000000000002</v>
      </c>
      <c r="J197" s="12">
        <v>9515240</v>
      </c>
      <c r="K197" s="12">
        <v>0.28606199999999998</v>
      </c>
      <c r="L197" s="12">
        <v>5448500</v>
      </c>
      <c r="M197" s="12">
        <v>2.6982300000000001</v>
      </c>
      <c r="N197" s="12"/>
      <c r="O197" s="12">
        <v>94.691999999999993</v>
      </c>
      <c r="P197" s="12"/>
      <c r="Q197" s="12">
        <v>30.587299999999999</v>
      </c>
      <c r="R197" s="12">
        <v>45.064</v>
      </c>
      <c r="S197" s="12"/>
      <c r="T197" s="12">
        <v>62.474200000000003</v>
      </c>
      <c r="U197" s="12"/>
      <c r="V197" s="12">
        <v>32.933599999999998</v>
      </c>
      <c r="W197" s="12"/>
      <c r="X197" s="12">
        <v>54.936</v>
      </c>
      <c r="Y197" s="12">
        <v>39.525799999999997</v>
      </c>
      <c r="Z197" s="11">
        <f t="shared" si="3"/>
        <v>15</v>
      </c>
    </row>
    <row r="198" spans="1:26" x14ac:dyDescent="0.2">
      <c r="A198" s="2">
        <v>197</v>
      </c>
      <c r="B198" s="10" t="s">
        <v>384</v>
      </c>
      <c r="C198" s="11" t="s">
        <v>185</v>
      </c>
      <c r="D198" s="13" t="s">
        <v>438</v>
      </c>
      <c r="E198" s="12">
        <v>24.841000000000001</v>
      </c>
      <c r="F198" s="12">
        <v>99.4</v>
      </c>
      <c r="G198" s="12"/>
      <c r="H198" s="12">
        <v>28003</v>
      </c>
      <c r="I198" s="12">
        <v>3.129</v>
      </c>
      <c r="J198" s="12">
        <v>104175</v>
      </c>
      <c r="K198" s="12">
        <v>1.12205</v>
      </c>
      <c r="L198" s="12">
        <v>60298</v>
      </c>
      <c r="M198" s="12">
        <v>12.0726</v>
      </c>
      <c r="N198" s="12"/>
      <c r="O198" s="12">
        <v>98.883399999999995</v>
      </c>
      <c r="P198" s="12"/>
      <c r="Q198" s="12">
        <v>0</v>
      </c>
      <c r="R198" s="12">
        <v>23.21</v>
      </c>
      <c r="S198" s="12"/>
      <c r="T198" s="12">
        <v>94.137200000000007</v>
      </c>
      <c r="U198" s="12"/>
      <c r="V198" s="12"/>
      <c r="W198" s="12"/>
      <c r="X198" s="12">
        <v>76.790000000000006</v>
      </c>
      <c r="Y198" s="12">
        <v>35.403199999999998</v>
      </c>
      <c r="Z198" s="11">
        <f t="shared" si="3"/>
        <v>14</v>
      </c>
    </row>
    <row r="199" spans="1:26" x14ac:dyDescent="0.2">
      <c r="A199" s="2">
        <v>198</v>
      </c>
      <c r="B199" s="10" t="s">
        <v>385</v>
      </c>
      <c r="C199" s="11" t="s">
        <v>186</v>
      </c>
      <c r="D199" s="11" t="s">
        <v>519</v>
      </c>
      <c r="E199" s="12">
        <v>35.994</v>
      </c>
      <c r="F199" s="12">
        <v>99.4</v>
      </c>
      <c r="G199" s="12">
        <v>0.48456500000000002</v>
      </c>
      <c r="H199" s="12">
        <v>91616100</v>
      </c>
      <c r="I199" s="12">
        <v>1.532</v>
      </c>
      <c r="J199" s="12">
        <v>1368330</v>
      </c>
      <c r="K199" s="12">
        <v>10.1571</v>
      </c>
      <c r="L199" s="12">
        <v>955936</v>
      </c>
      <c r="M199" s="12">
        <v>0.61905500000000002</v>
      </c>
      <c r="N199" s="12">
        <v>39.42</v>
      </c>
      <c r="O199" s="12">
        <v>98.779799999999994</v>
      </c>
      <c r="P199" s="12">
        <v>70.56</v>
      </c>
      <c r="Q199" s="12">
        <v>0</v>
      </c>
      <c r="R199" s="12">
        <v>53.561999999999998</v>
      </c>
      <c r="S199" s="12">
        <v>79</v>
      </c>
      <c r="T199" s="12"/>
      <c r="U199" s="12">
        <v>4.09</v>
      </c>
      <c r="V199" s="12"/>
      <c r="W199" s="12"/>
      <c r="X199" s="12">
        <v>46.438000000000002</v>
      </c>
      <c r="Y199" s="12">
        <v>17.760300000000001</v>
      </c>
      <c r="Z199" s="11">
        <f t="shared" si="3"/>
        <v>18</v>
      </c>
    </row>
    <row r="200" spans="1:26" x14ac:dyDescent="0.2">
      <c r="A200" s="2">
        <v>199</v>
      </c>
      <c r="B200" s="10" t="s">
        <v>386</v>
      </c>
      <c r="C200" s="11" t="s">
        <v>187</v>
      </c>
      <c r="D200" s="13" t="s">
        <v>435</v>
      </c>
      <c r="E200" s="12">
        <v>4.3150000000000004</v>
      </c>
      <c r="F200" s="12">
        <v>97.9</v>
      </c>
      <c r="G200" s="12">
        <v>4.7388000000000003</v>
      </c>
      <c r="H200" s="12">
        <v>1198530000</v>
      </c>
      <c r="I200" s="12">
        <v>1.8320000000000001</v>
      </c>
      <c r="J200" s="12">
        <v>12277100</v>
      </c>
      <c r="K200" s="12">
        <v>2.40862</v>
      </c>
      <c r="L200" s="12">
        <v>8155860</v>
      </c>
      <c r="M200" s="12">
        <v>2.78667</v>
      </c>
      <c r="N200" s="12">
        <v>128.22</v>
      </c>
      <c r="O200" s="12">
        <v>98.843800000000002</v>
      </c>
      <c r="P200" s="12">
        <v>74.98</v>
      </c>
      <c r="Q200" s="12">
        <v>43.5794</v>
      </c>
      <c r="R200" s="12">
        <v>70.88</v>
      </c>
      <c r="S200" s="12">
        <v>78.989699999999999</v>
      </c>
      <c r="T200" s="12">
        <v>104.99</v>
      </c>
      <c r="U200" s="12">
        <v>3.93</v>
      </c>
      <c r="V200" s="12">
        <v>26.833600000000001</v>
      </c>
      <c r="W200" s="12">
        <v>6.5388000000000002</v>
      </c>
      <c r="X200" s="12">
        <v>29.12</v>
      </c>
      <c r="Y200" s="12">
        <v>24.039000000000001</v>
      </c>
      <c r="Z200" s="11">
        <f t="shared" si="3"/>
        <v>21</v>
      </c>
    </row>
    <row r="201" spans="1:26" x14ac:dyDescent="0.2">
      <c r="A201" s="2">
        <v>200</v>
      </c>
      <c r="B201" s="10" t="s">
        <v>387</v>
      </c>
      <c r="C201" s="11" t="s">
        <v>188</v>
      </c>
      <c r="D201" s="13" t="s">
        <v>435</v>
      </c>
      <c r="E201" s="12">
        <v>12.055</v>
      </c>
      <c r="F201" s="12">
        <v>99.907200000000003</v>
      </c>
      <c r="G201" s="12">
        <v>27.9101</v>
      </c>
      <c r="H201" s="12">
        <v>9903400000</v>
      </c>
      <c r="I201" s="12">
        <v>1.51</v>
      </c>
      <c r="J201" s="12">
        <v>85518700</v>
      </c>
      <c r="K201" s="12">
        <v>4.8422700000000001</v>
      </c>
      <c r="L201" s="12">
        <v>58380900</v>
      </c>
      <c r="M201" s="12">
        <v>0.71195600000000003</v>
      </c>
      <c r="N201" s="12">
        <v>2037.81</v>
      </c>
      <c r="O201" s="12">
        <v>94.876900000000006</v>
      </c>
      <c r="P201" s="12">
        <v>75.430000000000007</v>
      </c>
      <c r="Q201" s="12">
        <v>54.936500000000002</v>
      </c>
      <c r="R201" s="12">
        <v>77.893000000000001</v>
      </c>
      <c r="S201" s="12">
        <v>83.437200000000004</v>
      </c>
      <c r="T201" s="12">
        <v>55.821800000000003</v>
      </c>
      <c r="U201" s="12">
        <v>4.42</v>
      </c>
      <c r="V201" s="12">
        <v>19.354800000000001</v>
      </c>
      <c r="W201" s="12">
        <v>3.1796500000000001</v>
      </c>
      <c r="X201" s="12">
        <v>22.106999999999999</v>
      </c>
      <c r="Y201" s="12">
        <v>21.448899999999998</v>
      </c>
      <c r="Z201" s="11">
        <f t="shared" si="3"/>
        <v>21</v>
      </c>
    </row>
    <row r="202" spans="1:26" x14ac:dyDescent="0.2">
      <c r="A202" s="2">
        <v>201</v>
      </c>
      <c r="B202" s="10" t="s">
        <v>383</v>
      </c>
      <c r="C202" s="11" t="s">
        <v>184</v>
      </c>
      <c r="D202" s="11" t="s">
        <v>437</v>
      </c>
      <c r="E202" s="12">
        <v>21.227</v>
      </c>
      <c r="F202" s="12">
        <v>99.8</v>
      </c>
      <c r="G202" s="12"/>
      <c r="H202" s="12"/>
      <c r="I202" s="12">
        <v>2.69</v>
      </c>
      <c r="J202" s="12">
        <v>7494500</v>
      </c>
      <c r="K202" s="12">
        <v>10.184100000000001</v>
      </c>
      <c r="L202" s="12">
        <v>4793700</v>
      </c>
      <c r="M202" s="12"/>
      <c r="N202" s="12"/>
      <c r="O202" s="12"/>
      <c r="P202" s="12"/>
      <c r="Q202" s="12">
        <v>3.1481499999999998</v>
      </c>
      <c r="R202" s="12">
        <v>54.524000000000001</v>
      </c>
      <c r="S202" s="12"/>
      <c r="T202" s="12">
        <v>34.099299999999999</v>
      </c>
      <c r="U202" s="12"/>
      <c r="V202" s="12"/>
      <c r="W202" s="12"/>
      <c r="X202" s="12">
        <v>45.475999999999999</v>
      </c>
      <c r="Y202" s="12">
        <v>31.506900000000002</v>
      </c>
      <c r="Z202" s="11">
        <f t="shared" si="3"/>
        <v>11</v>
      </c>
    </row>
    <row r="203" spans="1:26" x14ac:dyDescent="0.2">
      <c r="A203" s="2">
        <v>202</v>
      </c>
      <c r="B203" s="10" t="s">
        <v>429</v>
      </c>
      <c r="C203" s="11" t="s">
        <v>180</v>
      </c>
      <c r="D203" s="11" t="s">
        <v>518</v>
      </c>
      <c r="E203" s="12">
        <v>16.189</v>
      </c>
      <c r="F203" s="12"/>
      <c r="G203" s="12"/>
      <c r="H203" s="12">
        <v>208171</v>
      </c>
      <c r="I203" s="12">
        <v>1.4630000000000001</v>
      </c>
      <c r="J203" s="12">
        <v>46535</v>
      </c>
      <c r="K203" s="12"/>
      <c r="L203" s="12">
        <v>33820</v>
      </c>
      <c r="M203" s="12"/>
      <c r="N203" s="12"/>
      <c r="O203" s="12"/>
      <c r="P203" s="12"/>
      <c r="Q203" s="12">
        <v>0</v>
      </c>
      <c r="R203" s="12">
        <v>94.433000000000007</v>
      </c>
      <c r="S203" s="12"/>
      <c r="T203" s="12"/>
      <c r="U203" s="12"/>
      <c r="V203" s="12"/>
      <c r="W203" s="12"/>
      <c r="X203" s="12">
        <v>5.5670000000000002</v>
      </c>
      <c r="Y203" s="12">
        <v>16.070900000000002</v>
      </c>
      <c r="Z203" s="11">
        <f t="shared" si="3"/>
        <v>9</v>
      </c>
    </row>
    <row r="204" spans="1:26" x14ac:dyDescent="0.2">
      <c r="A204" s="2">
        <v>203</v>
      </c>
      <c r="B204" s="10" t="s">
        <v>388</v>
      </c>
      <c r="C204" s="11" t="s">
        <v>189</v>
      </c>
      <c r="D204" s="13" t="s">
        <v>438</v>
      </c>
      <c r="E204" s="12">
        <v>27.507000000000001</v>
      </c>
      <c r="F204" s="12"/>
      <c r="G204" s="12"/>
      <c r="H204" s="12"/>
      <c r="I204" s="12">
        <v>3.2080000000000002</v>
      </c>
      <c r="J204" s="12">
        <v>9646</v>
      </c>
      <c r="K204" s="12">
        <v>0.59626000000000001</v>
      </c>
      <c r="L204" s="12">
        <v>5825</v>
      </c>
      <c r="M204" s="12">
        <v>13.1523</v>
      </c>
      <c r="N204" s="12"/>
      <c r="O204" s="12">
        <v>87.890900000000002</v>
      </c>
      <c r="P204" s="12"/>
      <c r="Q204" s="12">
        <v>0</v>
      </c>
      <c r="R204" s="12">
        <v>66.927999999999997</v>
      </c>
      <c r="S204" s="12"/>
      <c r="T204" s="12"/>
      <c r="U204" s="12"/>
      <c r="V204" s="12"/>
      <c r="W204" s="12"/>
      <c r="X204" s="12">
        <v>33.072000000000003</v>
      </c>
      <c r="Y204" s="12">
        <v>32.948</v>
      </c>
      <c r="Z204" s="11">
        <f t="shared" si="3"/>
        <v>11</v>
      </c>
    </row>
    <row r="205" spans="1:26" x14ac:dyDescent="0.2">
      <c r="A205" s="2">
        <v>204</v>
      </c>
      <c r="B205" s="10" t="s">
        <v>391</v>
      </c>
      <c r="C205" s="11" t="s">
        <v>192</v>
      </c>
      <c r="D205" s="11" t="s">
        <v>434</v>
      </c>
      <c r="E205" s="12">
        <v>106.95399999999999</v>
      </c>
      <c r="F205" s="12">
        <v>91.83</v>
      </c>
      <c r="G205" s="12"/>
      <c r="H205" s="12">
        <v>16912300</v>
      </c>
      <c r="I205" s="12">
        <v>4.2830000000000004</v>
      </c>
      <c r="J205" s="12">
        <v>50015100</v>
      </c>
      <c r="K205" s="12">
        <v>0.12779299999999999</v>
      </c>
      <c r="L205" s="12">
        <v>27142400</v>
      </c>
      <c r="M205" s="12">
        <v>2.6252200000000001</v>
      </c>
      <c r="N205" s="12">
        <v>86.19</v>
      </c>
      <c r="O205" s="12">
        <v>95.643600000000006</v>
      </c>
      <c r="P205" s="12">
        <v>59.18</v>
      </c>
      <c r="Q205" s="12">
        <v>27.124300000000002</v>
      </c>
      <c r="R205" s="12">
        <v>27.388999999999999</v>
      </c>
      <c r="S205" s="12"/>
      <c r="T205" s="12">
        <v>41.468299999999999</v>
      </c>
      <c r="U205" s="12">
        <v>3.7</v>
      </c>
      <c r="V205" s="12">
        <v>46.609200000000001</v>
      </c>
      <c r="W205" s="12"/>
      <c r="X205" s="12">
        <v>72.611000000000004</v>
      </c>
      <c r="Y205" s="12">
        <v>43.542999999999999</v>
      </c>
      <c r="Z205" s="11">
        <f t="shared" si="3"/>
        <v>18</v>
      </c>
    </row>
    <row r="206" spans="1:26" x14ac:dyDescent="0.2">
      <c r="A206" s="2">
        <v>205</v>
      </c>
      <c r="B206" s="10" t="s">
        <v>392</v>
      </c>
      <c r="C206" s="11" t="s">
        <v>193</v>
      </c>
      <c r="D206" s="11" t="s">
        <v>436</v>
      </c>
      <c r="E206" s="12">
        <v>11.377000000000001</v>
      </c>
      <c r="F206" s="12">
        <v>99.9</v>
      </c>
      <c r="G206" s="12"/>
      <c r="H206" s="14">
        <v>728947000</v>
      </c>
      <c r="I206" s="12">
        <v>0.97699999999999998</v>
      </c>
      <c r="J206" s="12">
        <v>37860200</v>
      </c>
      <c r="K206" s="12">
        <v>3.7538200000000002</v>
      </c>
      <c r="L206" s="12">
        <v>25422800</v>
      </c>
      <c r="M206" s="12">
        <v>7.6452400000000003</v>
      </c>
      <c r="N206" s="12">
        <v>346.97</v>
      </c>
      <c r="O206" s="12">
        <v>91.991100000000003</v>
      </c>
      <c r="P206" s="12">
        <v>71.19</v>
      </c>
      <c r="Q206" s="12">
        <v>52.290999999999997</v>
      </c>
      <c r="R206" s="12">
        <v>70.284000000000006</v>
      </c>
      <c r="S206" s="12"/>
      <c r="T206" s="12">
        <v>77.753</v>
      </c>
      <c r="U206" s="12">
        <v>4.1100000000000003</v>
      </c>
      <c r="V206" s="12">
        <v>11.504799999999999</v>
      </c>
      <c r="W206" s="12">
        <v>2.9266899999999998</v>
      </c>
      <c r="X206" s="12">
        <v>29.716000000000001</v>
      </c>
      <c r="Y206" s="12">
        <v>13.888500000000001</v>
      </c>
      <c r="Z206" s="11">
        <f t="shared" si="3"/>
        <v>19</v>
      </c>
    </row>
    <row r="207" spans="1:26" x14ac:dyDescent="0.2">
      <c r="A207" s="2">
        <v>206</v>
      </c>
      <c r="B207" s="10" t="s">
        <v>408</v>
      </c>
      <c r="C207" s="11" t="s">
        <v>7</v>
      </c>
      <c r="D207" s="11" t="s">
        <v>440</v>
      </c>
      <c r="E207" s="12">
        <v>3.1030000000000002</v>
      </c>
      <c r="F207" s="12">
        <v>99.6601</v>
      </c>
      <c r="G207" s="12">
        <v>1.2185699999999999</v>
      </c>
      <c r="H207" s="12">
        <v>3417560000</v>
      </c>
      <c r="I207" s="12">
        <v>1.2</v>
      </c>
      <c r="J207" s="12">
        <v>10877000</v>
      </c>
      <c r="K207" s="12">
        <v>20.252300000000002</v>
      </c>
      <c r="L207" s="12">
        <v>8932400</v>
      </c>
      <c r="M207" s="12"/>
      <c r="N207" s="12">
        <v>643.25</v>
      </c>
      <c r="O207" s="12">
        <v>98.743099999999998</v>
      </c>
      <c r="P207" s="12">
        <v>77.540000000000006</v>
      </c>
      <c r="Q207" s="12">
        <v>53.8889</v>
      </c>
      <c r="R207" s="12">
        <v>88.007999999999996</v>
      </c>
      <c r="S207" s="12">
        <v>100</v>
      </c>
      <c r="T207" s="12">
        <v>202.333</v>
      </c>
      <c r="U207" s="12">
        <v>5.3</v>
      </c>
      <c r="V207" s="12"/>
      <c r="W207" s="12"/>
      <c r="X207" s="12">
        <v>11.992000000000001</v>
      </c>
      <c r="Y207" s="12">
        <v>16.111000000000001</v>
      </c>
      <c r="Z207" s="11">
        <f t="shared" si="3"/>
        <v>18</v>
      </c>
    </row>
    <row r="208" spans="1:26" x14ac:dyDescent="0.2">
      <c r="A208" s="2">
        <v>207</v>
      </c>
      <c r="B208" s="10" t="s">
        <v>416</v>
      </c>
      <c r="C208" s="11" t="s">
        <v>69</v>
      </c>
      <c r="D208" s="11" t="s">
        <v>431</v>
      </c>
      <c r="E208" s="12">
        <v>8.359</v>
      </c>
      <c r="F208" s="12"/>
      <c r="G208" s="12">
        <v>37.438400000000001</v>
      </c>
      <c r="H208" s="12">
        <v>82372100000</v>
      </c>
      <c r="I208" s="12">
        <v>1.56</v>
      </c>
      <c r="J208" s="12">
        <v>69226000</v>
      </c>
      <c r="K208" s="12">
        <v>4.60114</v>
      </c>
      <c r="L208" s="12">
        <v>43830600</v>
      </c>
      <c r="M208" s="12">
        <v>10.465199999999999</v>
      </c>
      <c r="N208" s="12">
        <v>2700.3</v>
      </c>
      <c r="O208" s="12">
        <v>99.569599999999994</v>
      </c>
      <c r="P208" s="12">
        <v>81.599999999999994</v>
      </c>
      <c r="Q208" s="12">
        <v>78.629599999999996</v>
      </c>
      <c r="R208" s="12">
        <v>84.884</v>
      </c>
      <c r="S208" s="12">
        <v>96.680199999999999</v>
      </c>
      <c r="T208" s="12">
        <v>62.407499999999999</v>
      </c>
      <c r="U208" s="12">
        <v>5.51</v>
      </c>
      <c r="V208" s="12">
        <v>11.5639</v>
      </c>
      <c r="W208" s="12"/>
      <c r="X208" s="12">
        <v>15.116</v>
      </c>
      <c r="Y208" s="12">
        <v>17.184999999999999</v>
      </c>
      <c r="Z208" s="11">
        <f t="shared" si="3"/>
        <v>19</v>
      </c>
    </row>
    <row r="209" spans="1:26" x14ac:dyDescent="0.2">
      <c r="A209" s="2">
        <v>208</v>
      </c>
      <c r="B209" s="10" t="s">
        <v>513</v>
      </c>
      <c r="C209" s="11" t="s">
        <v>514</v>
      </c>
      <c r="D209" s="11" t="s">
        <v>517</v>
      </c>
      <c r="E209" s="12">
        <v>13.145</v>
      </c>
      <c r="F209" s="12"/>
      <c r="G209" s="12">
        <v>24.6295</v>
      </c>
      <c r="H209" s="12">
        <v>232907000000</v>
      </c>
      <c r="I209" s="12">
        <v>1.6165</v>
      </c>
      <c r="J209" s="12">
        <v>340111000</v>
      </c>
      <c r="K209" s="12">
        <v>13.0328</v>
      </c>
      <c r="L209" s="12">
        <v>220211000</v>
      </c>
      <c r="M209" s="12">
        <v>1.7324900000000001</v>
      </c>
      <c r="N209" s="12">
        <v>18217.099999999999</v>
      </c>
      <c r="O209" s="12">
        <v>95.5578</v>
      </c>
      <c r="P209" s="12">
        <v>78.739999999999995</v>
      </c>
      <c r="Q209" s="12">
        <v>74.796300000000002</v>
      </c>
      <c r="R209" s="12">
        <v>83.515000000000001</v>
      </c>
      <c r="S209" s="12">
        <v>91.753200000000007</v>
      </c>
      <c r="T209" s="12">
        <v>24.888000000000002</v>
      </c>
      <c r="U209" s="12">
        <v>5.85</v>
      </c>
      <c r="V209" s="12">
        <v>12.907299999999999</v>
      </c>
      <c r="W209" s="12">
        <v>11.349</v>
      </c>
      <c r="X209" s="12">
        <v>16.484999999999999</v>
      </c>
      <c r="Y209" s="12">
        <v>17.3246</v>
      </c>
      <c r="Z209" s="11">
        <f t="shared" si="3"/>
        <v>20</v>
      </c>
    </row>
    <row r="210" spans="1:26" x14ac:dyDescent="0.2">
      <c r="A210" s="2">
        <v>209</v>
      </c>
      <c r="B210" s="10" t="s">
        <v>393</v>
      </c>
      <c r="C210" s="11" t="s">
        <v>194</v>
      </c>
      <c r="D210" s="11" t="s">
        <v>519</v>
      </c>
      <c r="E210" s="12">
        <v>26.187999999999999</v>
      </c>
      <c r="F210" s="12">
        <v>99.18</v>
      </c>
      <c r="G210" s="12">
        <v>4.0199800000000003</v>
      </c>
      <c r="H210" s="12">
        <v>188476000</v>
      </c>
      <c r="I210" s="12">
        <v>1.409</v>
      </c>
      <c r="J210" s="12">
        <v>3386590</v>
      </c>
      <c r="K210" s="12">
        <v>1.8997200000000001</v>
      </c>
      <c r="L210" s="12">
        <v>2223700</v>
      </c>
      <c r="M210" s="12">
        <v>3.5522</v>
      </c>
      <c r="N210" s="12">
        <v>72.53</v>
      </c>
      <c r="O210" s="12">
        <v>99.640600000000006</v>
      </c>
      <c r="P210" s="12">
        <v>77.14</v>
      </c>
      <c r="Q210" s="12">
        <v>53.814799999999998</v>
      </c>
      <c r="R210" s="12">
        <v>95.852000000000004</v>
      </c>
      <c r="S210" s="12">
        <v>89.873000000000005</v>
      </c>
      <c r="T210" s="12">
        <v>52.4649</v>
      </c>
      <c r="U210" s="12">
        <v>4.1500000000000004</v>
      </c>
      <c r="V210" s="12"/>
      <c r="W210" s="12">
        <v>14.429500000000001</v>
      </c>
      <c r="X210" s="12">
        <v>4.1479999999999997</v>
      </c>
      <c r="Y210" s="12">
        <v>18.292999999999999</v>
      </c>
      <c r="Z210" s="11">
        <f t="shared" si="3"/>
        <v>20</v>
      </c>
    </row>
    <row r="211" spans="1:26" x14ac:dyDescent="0.2">
      <c r="A211" s="2">
        <v>210</v>
      </c>
      <c r="B211" s="10" t="s">
        <v>394</v>
      </c>
      <c r="C211" s="11" t="s">
        <v>195</v>
      </c>
      <c r="D211" s="11" t="s">
        <v>437</v>
      </c>
      <c r="E211" s="12">
        <v>34.081000000000003</v>
      </c>
      <c r="F211" s="12">
        <v>99.999899999999997</v>
      </c>
      <c r="G211" s="12">
        <v>0.67253200000000002</v>
      </c>
      <c r="H211" s="12">
        <v>200637000</v>
      </c>
      <c r="I211" s="12">
        <v>3.5</v>
      </c>
      <c r="J211" s="12">
        <v>36361900</v>
      </c>
      <c r="K211" s="12">
        <v>3.3763000000000001</v>
      </c>
      <c r="L211" s="12">
        <v>22919600</v>
      </c>
      <c r="M211" s="12">
        <v>4.6912099999999999</v>
      </c>
      <c r="N211" s="12"/>
      <c r="O211" s="12">
        <v>96.844899999999996</v>
      </c>
      <c r="P211" s="12"/>
      <c r="Q211" s="12">
        <v>16.209</v>
      </c>
      <c r="R211" s="12">
        <v>50.625999999999998</v>
      </c>
      <c r="S211" s="12">
        <v>76.590400000000002</v>
      </c>
      <c r="T211" s="12">
        <v>60.727400000000003</v>
      </c>
      <c r="U211" s="12"/>
      <c r="V211" s="12"/>
      <c r="W211" s="12"/>
      <c r="X211" s="12">
        <v>49.374000000000002</v>
      </c>
      <c r="Y211" s="12">
        <v>31.103400000000001</v>
      </c>
      <c r="Z211" s="11">
        <f t="shared" si="3"/>
        <v>16</v>
      </c>
    </row>
    <row r="212" spans="1:26" x14ac:dyDescent="0.2">
      <c r="A212" s="2">
        <v>211</v>
      </c>
      <c r="B212" s="10" t="s">
        <v>398</v>
      </c>
      <c r="C212" s="11" t="s">
        <v>200</v>
      </c>
      <c r="D212" s="13" t="s">
        <v>438</v>
      </c>
      <c r="E212" s="12">
        <v>66.218999999999994</v>
      </c>
      <c r="F212" s="12">
        <v>96.9</v>
      </c>
      <c r="G212" s="12"/>
      <c r="H212" s="12"/>
      <c r="I212" s="12">
        <v>3.5960000000000001</v>
      </c>
      <c r="J212" s="12">
        <v>327777</v>
      </c>
      <c r="K212" s="12">
        <v>0.38917499999999999</v>
      </c>
      <c r="L212" s="12">
        <v>188112</v>
      </c>
      <c r="M212" s="12">
        <v>5.0185500000000003</v>
      </c>
      <c r="N212" s="12"/>
      <c r="O212" s="12">
        <v>92.1477</v>
      </c>
      <c r="P212" s="12"/>
      <c r="Q212" s="12">
        <v>8.3333300000000001</v>
      </c>
      <c r="R212" s="12">
        <v>26.146999999999998</v>
      </c>
      <c r="S212" s="12"/>
      <c r="T212" s="12">
        <v>65.103899999999996</v>
      </c>
      <c r="U212" s="12"/>
      <c r="V212" s="12"/>
      <c r="W212" s="12"/>
      <c r="X212" s="12">
        <v>73.852999999999994</v>
      </c>
      <c r="Y212" s="12">
        <v>38.313899999999997</v>
      </c>
      <c r="Z212" s="11">
        <f t="shared" si="3"/>
        <v>13</v>
      </c>
    </row>
    <row r="213" spans="1:26" x14ac:dyDescent="0.2">
      <c r="A213" s="2">
        <v>212</v>
      </c>
      <c r="B213" s="10" t="s">
        <v>430</v>
      </c>
      <c r="C213" s="11" t="s">
        <v>197</v>
      </c>
      <c r="D213" s="11" t="s">
        <v>519</v>
      </c>
      <c r="E213" s="12">
        <v>73.295000000000002</v>
      </c>
      <c r="F213" s="12">
        <v>98.73</v>
      </c>
      <c r="G213" s="12">
        <v>8.4255099999999992</v>
      </c>
      <c r="H213" s="12"/>
      <c r="I213" s="12">
        <v>2.0790000000000002</v>
      </c>
      <c r="J213" s="12">
        <v>28405500</v>
      </c>
      <c r="K213" s="12">
        <v>2.5450300000000001</v>
      </c>
      <c r="L213" s="12">
        <v>18405000</v>
      </c>
      <c r="M213" s="12">
        <v>11.3134</v>
      </c>
      <c r="N213" s="12">
        <v>276.89999999999998</v>
      </c>
      <c r="O213" s="12">
        <v>89.680099999999996</v>
      </c>
      <c r="P213" s="12">
        <v>74.41</v>
      </c>
      <c r="Q213" s="12">
        <v>10.6349</v>
      </c>
      <c r="R213" s="12">
        <v>88.504999999999995</v>
      </c>
      <c r="S213" s="12">
        <v>61.6</v>
      </c>
      <c r="T213" s="12">
        <v>48.090800000000002</v>
      </c>
      <c r="U213" s="12">
        <v>3.23</v>
      </c>
      <c r="V213" s="12"/>
      <c r="W213" s="12">
        <v>11.3543</v>
      </c>
      <c r="X213" s="12">
        <v>11.494999999999999</v>
      </c>
      <c r="Y213" s="12">
        <v>25.527000000000001</v>
      </c>
      <c r="Z213" s="11">
        <f t="shared" si="3"/>
        <v>19</v>
      </c>
    </row>
    <row r="214" spans="1:26" x14ac:dyDescent="0.2">
      <c r="A214" s="2">
        <v>213</v>
      </c>
      <c r="B214" s="10" t="s">
        <v>515</v>
      </c>
      <c r="C214" s="11" t="s">
        <v>516</v>
      </c>
      <c r="D214" s="11" t="s">
        <v>517</v>
      </c>
      <c r="E214" s="12">
        <v>34.277000000000001</v>
      </c>
      <c r="F214" s="12">
        <v>98.625500000000002</v>
      </c>
      <c r="G214" s="12">
        <v>14.7149</v>
      </c>
      <c r="H214" s="12">
        <v>135907000000</v>
      </c>
      <c r="I214" s="12">
        <v>1.913</v>
      </c>
      <c r="J214" s="12">
        <v>100988000</v>
      </c>
      <c r="K214" s="12">
        <v>3.6764399999999999</v>
      </c>
      <c r="L214" s="12">
        <v>68397800</v>
      </c>
      <c r="M214" s="12">
        <v>1.6159600000000001</v>
      </c>
      <c r="N214" s="12">
        <v>631.39</v>
      </c>
      <c r="O214" s="12">
        <v>100</v>
      </c>
      <c r="P214" s="12">
        <v>75.78</v>
      </c>
      <c r="Q214" s="12">
        <v>39.851900000000001</v>
      </c>
      <c r="R214" s="12">
        <v>40.195</v>
      </c>
      <c r="S214" s="12">
        <v>78.59</v>
      </c>
      <c r="T214" s="12">
        <v>164.81800000000001</v>
      </c>
      <c r="U214" s="12">
        <v>4.3600000000000003</v>
      </c>
      <c r="V214" s="12"/>
      <c r="W214" s="12">
        <v>0</v>
      </c>
      <c r="X214" s="12">
        <v>59.805</v>
      </c>
      <c r="Y214" s="12">
        <v>23.224</v>
      </c>
      <c r="Z214" s="11">
        <f t="shared" si="3"/>
        <v>20</v>
      </c>
    </row>
    <row r="215" spans="1:26" x14ac:dyDescent="0.2">
      <c r="A215" s="2">
        <v>214</v>
      </c>
      <c r="B215" s="10" t="s">
        <v>396</v>
      </c>
      <c r="C215" s="11" t="s">
        <v>198</v>
      </c>
      <c r="D215" s="11" t="s">
        <v>518</v>
      </c>
      <c r="E215" s="12">
        <v>15.27</v>
      </c>
      <c r="F215" s="12"/>
      <c r="G215" s="12"/>
      <c r="H215" s="12"/>
      <c r="I215" s="12">
        <v>1.0449999999999999</v>
      </c>
      <c r="J215" s="12">
        <v>39471</v>
      </c>
      <c r="K215" s="12"/>
      <c r="L215" s="12">
        <v>29952</v>
      </c>
      <c r="M215" s="12"/>
      <c r="N215" s="12"/>
      <c r="O215" s="12">
        <v>93.822000000000003</v>
      </c>
      <c r="P215" s="12"/>
      <c r="Q215" s="12">
        <v>0</v>
      </c>
      <c r="R215" s="12">
        <v>50.170999999999999</v>
      </c>
      <c r="S215" s="12"/>
      <c r="T215" s="12"/>
      <c r="U215" s="12"/>
      <c r="V215" s="12"/>
      <c r="W215" s="12"/>
      <c r="X215" s="12">
        <v>49.829000000000001</v>
      </c>
      <c r="Y215" s="12">
        <v>14.4917</v>
      </c>
      <c r="Z215" s="11">
        <f t="shared" si="3"/>
        <v>9</v>
      </c>
    </row>
    <row r="216" spans="1:26" x14ac:dyDescent="0.2">
      <c r="A216" s="2">
        <v>215</v>
      </c>
      <c r="B216" s="10" t="s">
        <v>397</v>
      </c>
      <c r="C216" s="11" t="s">
        <v>199</v>
      </c>
      <c r="D216" s="11" t="s">
        <v>518</v>
      </c>
      <c r="E216" s="12">
        <v>31.777000000000001</v>
      </c>
      <c r="F216" s="12"/>
      <c r="G216" s="12"/>
      <c r="H216" s="12"/>
      <c r="I216" s="12">
        <v>1.98</v>
      </c>
      <c r="J216" s="12">
        <v>104377</v>
      </c>
      <c r="K216" s="12"/>
      <c r="L216" s="12">
        <v>63475</v>
      </c>
      <c r="M216" s="12"/>
      <c r="N216" s="12"/>
      <c r="O216" s="12"/>
      <c r="P216" s="12"/>
      <c r="Q216" s="12">
        <v>0</v>
      </c>
      <c r="R216" s="12">
        <v>96.313999999999993</v>
      </c>
      <c r="S216" s="12"/>
      <c r="T216" s="12">
        <v>205.62899999999999</v>
      </c>
      <c r="U216" s="12"/>
      <c r="V216" s="12"/>
      <c r="W216" s="12"/>
      <c r="X216" s="12">
        <v>3.6859999999999999</v>
      </c>
      <c r="Y216" s="12">
        <v>16.496700000000001</v>
      </c>
      <c r="Z216" s="11">
        <f t="shared" si="3"/>
        <v>9</v>
      </c>
    </row>
    <row r="217" spans="1:26" x14ac:dyDescent="0.2">
      <c r="A217" s="2">
        <v>216</v>
      </c>
      <c r="B217" s="10" t="s">
        <v>400</v>
      </c>
      <c r="C217" s="11" t="s">
        <v>203</v>
      </c>
      <c r="D217" s="11" t="s">
        <v>440</v>
      </c>
      <c r="E217" s="12">
        <v>75.328000000000003</v>
      </c>
      <c r="F217" s="12">
        <v>77</v>
      </c>
      <c r="G217" s="12"/>
      <c r="H217" s="12">
        <v>3030320</v>
      </c>
      <c r="I217" s="12">
        <v>4.59</v>
      </c>
      <c r="J217" s="12">
        <v>40583200</v>
      </c>
      <c r="K217" s="12">
        <v>0.30851499999999998</v>
      </c>
      <c r="L217" s="12">
        <v>22868000</v>
      </c>
      <c r="M217" s="12">
        <v>0.67828599999999994</v>
      </c>
      <c r="N217" s="12">
        <v>65.12</v>
      </c>
      <c r="O217" s="12">
        <v>84.396600000000007</v>
      </c>
      <c r="P217" s="12">
        <v>64.03</v>
      </c>
      <c r="Q217" s="12">
        <v>16.944400000000002</v>
      </c>
      <c r="R217" s="12">
        <v>40.476999999999997</v>
      </c>
      <c r="S217" s="12"/>
      <c r="T217" s="12">
        <v>56.077800000000003</v>
      </c>
      <c r="U217" s="12">
        <v>2.87</v>
      </c>
      <c r="V217" s="12"/>
      <c r="W217" s="12"/>
      <c r="X217" s="12">
        <v>59.523000000000003</v>
      </c>
      <c r="Y217" s="12">
        <v>41.128399999999999</v>
      </c>
      <c r="Z217" s="11">
        <f t="shared" si="3"/>
        <v>17</v>
      </c>
    </row>
    <row r="218" spans="1:26" x14ac:dyDescent="0.2">
      <c r="A218" s="2">
        <v>217</v>
      </c>
      <c r="B218" s="10" t="s">
        <v>402</v>
      </c>
      <c r="C218" s="11" t="s">
        <v>205</v>
      </c>
      <c r="D218" s="11" t="s">
        <v>432</v>
      </c>
      <c r="E218" s="12">
        <v>115.907</v>
      </c>
      <c r="F218" s="12">
        <v>93.2</v>
      </c>
      <c r="G218" s="12">
        <v>1.8193999999999999</v>
      </c>
      <c r="H218" s="12">
        <v>14668100</v>
      </c>
      <c r="I218" s="12">
        <v>4.101</v>
      </c>
      <c r="J218" s="12">
        <v>21315000</v>
      </c>
      <c r="K218" s="12">
        <v>0.40190300000000001</v>
      </c>
      <c r="L218" s="12">
        <v>12063400</v>
      </c>
      <c r="M218" s="12">
        <v>8.08019</v>
      </c>
      <c r="N218" s="12">
        <v>64.83</v>
      </c>
      <c r="O218" s="12">
        <v>85.103499999999997</v>
      </c>
      <c r="P218" s="12">
        <v>60.79</v>
      </c>
      <c r="Q218" s="12">
        <v>22.383600000000001</v>
      </c>
      <c r="R218" s="12">
        <v>46.914000000000001</v>
      </c>
      <c r="S218" s="12">
        <v>21.2315</v>
      </c>
      <c r="T218" s="12">
        <v>78.241900000000001</v>
      </c>
      <c r="U218" s="12">
        <v>3.52</v>
      </c>
      <c r="V218" s="12">
        <v>56.8324</v>
      </c>
      <c r="W218" s="12"/>
      <c r="X218" s="12">
        <v>53.085999999999999</v>
      </c>
      <c r="Y218" s="12">
        <v>41.457299999999996</v>
      </c>
      <c r="Z218" s="11">
        <f t="shared" si="3"/>
        <v>20</v>
      </c>
    </row>
    <row r="219" spans="1:26" x14ac:dyDescent="0.2">
      <c r="A219" s="2">
        <v>218</v>
      </c>
      <c r="B219" s="10" t="s">
        <v>403</v>
      </c>
      <c r="C219" s="11" t="s">
        <v>206</v>
      </c>
      <c r="D219" s="11" t="s">
        <v>432</v>
      </c>
      <c r="E219" s="12">
        <v>98.057000000000002</v>
      </c>
      <c r="F219" s="12">
        <v>90.86</v>
      </c>
      <c r="G219" s="12">
        <v>1.2013</v>
      </c>
      <c r="H219" s="12">
        <v>10554700</v>
      </c>
      <c r="I219" s="12">
        <v>3.7240000000000002</v>
      </c>
      <c r="J219" s="12">
        <v>16634400</v>
      </c>
      <c r="K219" s="12">
        <v>0.53048399999999996</v>
      </c>
      <c r="L219" s="12">
        <v>9236170</v>
      </c>
      <c r="M219" s="12">
        <v>2.8601100000000002</v>
      </c>
      <c r="N219" s="12">
        <v>37.82</v>
      </c>
      <c r="O219" s="12">
        <v>94.632400000000004</v>
      </c>
      <c r="P219" s="12">
        <v>59.16</v>
      </c>
      <c r="Q219" s="12">
        <v>32.8095</v>
      </c>
      <c r="R219" s="12">
        <v>32.67</v>
      </c>
      <c r="S219" s="12">
        <v>34.814</v>
      </c>
      <c r="T219" s="12">
        <v>52.673000000000002</v>
      </c>
      <c r="U219" s="12">
        <v>3.32</v>
      </c>
      <c r="V219" s="12">
        <v>55.021099999999997</v>
      </c>
      <c r="W219" s="12">
        <v>11.2332</v>
      </c>
      <c r="X219" s="12">
        <v>67.33</v>
      </c>
      <c r="Y219" s="12">
        <v>40.873800000000003</v>
      </c>
      <c r="Z219" s="11">
        <f t="shared" si="3"/>
        <v>21</v>
      </c>
    </row>
    <row r="220" spans="1:26" s="7" customFormat="1" x14ac:dyDescent="0.2">
      <c r="A220" s="6">
        <v>219</v>
      </c>
      <c r="B220" s="15" t="s">
        <v>520</v>
      </c>
      <c r="C220" s="16" t="s">
        <v>521</v>
      </c>
      <c r="D220" s="16" t="s">
        <v>522</v>
      </c>
      <c r="E220" s="17">
        <f t="shared" ref="E220:R220" si="4">AVERAGE(E193:E219)</f>
        <v>42.211555555555556</v>
      </c>
      <c r="F220" s="17">
        <f t="shared" si="4"/>
        <v>95.299719047619064</v>
      </c>
      <c r="G220" s="17">
        <f t="shared" si="4"/>
        <v>11.030803133333334</v>
      </c>
      <c r="H220" s="18">
        <f t="shared" si="4"/>
        <v>26417821708.200001</v>
      </c>
      <c r="I220" s="17">
        <f t="shared" si="4"/>
        <v>2.5454259259259264</v>
      </c>
      <c r="J220" s="17">
        <f t="shared" si="4"/>
        <v>37955165.962962963</v>
      </c>
      <c r="K220" s="17">
        <f t="shared" si="4"/>
        <v>3.7400323333333332</v>
      </c>
      <c r="L220" s="17">
        <f t="shared" si="4"/>
        <v>24235704.148148149</v>
      </c>
      <c r="M220" s="17">
        <f t="shared" si="4"/>
        <v>4.8155975</v>
      </c>
      <c r="N220" s="17">
        <f t="shared" si="4"/>
        <v>1570.9070588235293</v>
      </c>
      <c r="O220" s="17">
        <f t="shared" si="4"/>
        <v>94.445145833333342</v>
      </c>
      <c r="P220" s="17">
        <f t="shared" si="4"/>
        <v>70.967222222222233</v>
      </c>
      <c r="Q220" s="17">
        <f t="shared" si="4"/>
        <v>26.241425185185179</v>
      </c>
      <c r="R220" s="17">
        <f t="shared" si="4"/>
        <v>57.861703703703718</v>
      </c>
      <c r="S220" s="17">
        <f>AVERAGE(S100:S219)</f>
        <v>73.508531818181837</v>
      </c>
      <c r="T220" s="17">
        <f t="shared" ref="T220:Y220" si="5">AVERAGE(T193:T219)</f>
        <v>81.627060869565199</v>
      </c>
      <c r="U220" s="17">
        <f t="shared" si="5"/>
        <v>4.1166666666666663</v>
      </c>
      <c r="V220" s="17">
        <f t="shared" si="5"/>
        <v>27.222245454545455</v>
      </c>
      <c r="W220" s="17">
        <f t="shared" si="5"/>
        <v>7.3758595000000016</v>
      </c>
      <c r="X220" s="17">
        <f t="shared" si="5"/>
        <v>42.138296296296296</v>
      </c>
      <c r="Y220" s="19">
        <f t="shared" si="5"/>
        <v>27.587766666666671</v>
      </c>
      <c r="Z220" s="11">
        <f t="shared" si="3"/>
        <v>21</v>
      </c>
    </row>
    <row r="222" spans="1:26" x14ac:dyDescent="0.2">
      <c r="H222" t="e">
        <f>((H220/SUM(#REF!)))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2E3C-1F4B-544D-AA4A-819FDF8F503A}">
  <dimension ref="A1:D23"/>
  <sheetViews>
    <sheetView zoomScale="150" zoomScaleNormal="150" workbookViewId="0"/>
  </sheetViews>
  <sheetFormatPr baseColWidth="10" defaultRowHeight="15" x14ac:dyDescent="0.2"/>
  <cols>
    <col min="1" max="1" width="6.5" bestFit="1" customWidth="1"/>
    <col min="2" max="2" width="25.5" bestFit="1" customWidth="1"/>
    <col min="3" max="3" width="56.6640625" bestFit="1" customWidth="1"/>
    <col min="4" max="4" width="97.83203125" bestFit="1" customWidth="1"/>
  </cols>
  <sheetData>
    <row r="1" spans="1:4" x14ac:dyDescent="0.2">
      <c r="A1" s="5" t="s">
        <v>442</v>
      </c>
      <c r="B1" s="5" t="s">
        <v>443</v>
      </c>
      <c r="C1" s="5" t="s">
        <v>444</v>
      </c>
      <c r="D1" s="5" t="s">
        <v>445</v>
      </c>
    </row>
    <row r="2" spans="1:4" x14ac:dyDescent="0.2">
      <c r="A2">
        <v>1</v>
      </c>
      <c r="B2" t="s">
        <v>208</v>
      </c>
      <c r="C2" t="s">
        <v>446</v>
      </c>
      <c r="D2" t="s">
        <v>447</v>
      </c>
    </row>
    <row r="3" spans="1:4" x14ac:dyDescent="0.2">
      <c r="A3">
        <v>2</v>
      </c>
      <c r="B3" t="s">
        <v>207</v>
      </c>
      <c r="C3" t="s">
        <v>448</v>
      </c>
      <c r="D3" t="s">
        <v>449</v>
      </c>
    </row>
    <row r="4" spans="1:4" x14ac:dyDescent="0.2">
      <c r="A4">
        <v>3</v>
      </c>
      <c r="B4" t="s">
        <v>209</v>
      </c>
      <c r="C4" t="s">
        <v>450</v>
      </c>
      <c r="D4" t="s">
        <v>451</v>
      </c>
    </row>
    <row r="5" spans="1:4" x14ac:dyDescent="0.2">
      <c r="A5">
        <v>4</v>
      </c>
      <c r="B5" t="s">
        <v>210</v>
      </c>
      <c r="C5" t="s">
        <v>452</v>
      </c>
      <c r="D5" t="s">
        <v>453</v>
      </c>
    </row>
    <row r="6" spans="1:4" x14ac:dyDescent="0.2">
      <c r="A6">
        <v>5</v>
      </c>
      <c r="B6" t="s">
        <v>211</v>
      </c>
      <c r="C6" t="s">
        <v>454</v>
      </c>
      <c r="D6" t="s">
        <v>455</v>
      </c>
    </row>
    <row r="7" spans="1:4" x14ac:dyDescent="0.2">
      <c r="A7">
        <v>6</v>
      </c>
      <c r="B7" t="s">
        <v>212</v>
      </c>
      <c r="C7" t="s">
        <v>456</v>
      </c>
      <c r="D7" t="s">
        <v>457</v>
      </c>
    </row>
    <row r="8" spans="1:4" x14ac:dyDescent="0.2">
      <c r="A8">
        <v>7</v>
      </c>
      <c r="B8" t="s">
        <v>213</v>
      </c>
      <c r="C8" t="s">
        <v>458</v>
      </c>
      <c r="D8" t="s">
        <v>459</v>
      </c>
    </row>
    <row r="9" spans="1:4" x14ac:dyDescent="0.2">
      <c r="A9">
        <v>8</v>
      </c>
      <c r="B9" t="s">
        <v>214</v>
      </c>
      <c r="C9" t="s">
        <v>460</v>
      </c>
      <c r="D9" t="s">
        <v>461</v>
      </c>
    </row>
    <row r="10" spans="1:4" x14ac:dyDescent="0.2">
      <c r="A10">
        <v>9</v>
      </c>
      <c r="B10" t="s">
        <v>215</v>
      </c>
      <c r="C10" t="s">
        <v>462</v>
      </c>
      <c r="D10" t="s">
        <v>463</v>
      </c>
    </row>
    <row r="11" spans="1:4" x14ac:dyDescent="0.2">
      <c r="A11">
        <v>10</v>
      </c>
      <c r="B11" t="s">
        <v>216</v>
      </c>
      <c r="C11" t="s">
        <v>464</v>
      </c>
      <c r="D11" t="s">
        <v>465</v>
      </c>
    </row>
    <row r="12" spans="1:4" x14ac:dyDescent="0.2">
      <c r="A12">
        <v>11</v>
      </c>
      <c r="B12" t="s">
        <v>217</v>
      </c>
      <c r="C12" t="s">
        <v>466</v>
      </c>
      <c r="D12" t="s">
        <v>467</v>
      </c>
    </row>
    <row r="13" spans="1:4" x14ac:dyDescent="0.2">
      <c r="A13">
        <v>12</v>
      </c>
      <c r="B13" t="s">
        <v>468</v>
      </c>
      <c r="C13" t="s">
        <v>469</v>
      </c>
      <c r="D13" t="s">
        <v>470</v>
      </c>
    </row>
    <row r="14" spans="1:4" x14ac:dyDescent="0.2">
      <c r="A14">
        <v>13</v>
      </c>
      <c r="B14" t="s">
        <v>219</v>
      </c>
      <c r="C14" t="s">
        <v>471</v>
      </c>
      <c r="D14" t="s">
        <v>472</v>
      </c>
    </row>
    <row r="15" spans="1:4" x14ac:dyDescent="0.2">
      <c r="A15">
        <v>14</v>
      </c>
      <c r="B15" t="s">
        <v>218</v>
      </c>
      <c r="C15" t="s">
        <v>473</v>
      </c>
      <c r="D15" t="s">
        <v>474</v>
      </c>
    </row>
    <row r="16" spans="1:4" x14ac:dyDescent="0.2">
      <c r="A16">
        <v>15</v>
      </c>
      <c r="B16" t="s">
        <v>0</v>
      </c>
      <c r="C16" t="s">
        <v>0</v>
      </c>
      <c r="D16" t="s">
        <v>475</v>
      </c>
    </row>
    <row r="17" spans="1:4" x14ac:dyDescent="0.2">
      <c r="A17">
        <v>16</v>
      </c>
      <c r="B17" t="s">
        <v>221</v>
      </c>
      <c r="C17" t="s">
        <v>476</v>
      </c>
      <c r="D17" t="s">
        <v>477</v>
      </c>
    </row>
    <row r="18" spans="1:4" x14ac:dyDescent="0.2">
      <c r="A18">
        <v>17</v>
      </c>
      <c r="B18" t="s">
        <v>220</v>
      </c>
      <c r="C18" t="s">
        <v>478</v>
      </c>
      <c r="D18" t="s">
        <v>479</v>
      </c>
    </row>
    <row r="19" spans="1:4" x14ac:dyDescent="0.2">
      <c r="A19">
        <v>18</v>
      </c>
      <c r="B19" t="s">
        <v>222</v>
      </c>
      <c r="C19" t="s">
        <v>480</v>
      </c>
      <c r="D19" t="s">
        <v>481</v>
      </c>
    </row>
    <row r="20" spans="1:4" x14ac:dyDescent="0.2">
      <c r="A20">
        <v>19</v>
      </c>
      <c r="B20" t="s">
        <v>482</v>
      </c>
      <c r="C20" t="s">
        <v>1</v>
      </c>
      <c r="D20" t="s">
        <v>483</v>
      </c>
    </row>
    <row r="21" spans="1:4" x14ac:dyDescent="0.2">
      <c r="A21">
        <v>20</v>
      </c>
      <c r="B21" t="s">
        <v>223</v>
      </c>
      <c r="C21" t="s">
        <v>484</v>
      </c>
      <c r="D21" t="s">
        <v>485</v>
      </c>
    </row>
    <row r="22" spans="1:4" x14ac:dyDescent="0.2">
      <c r="A22">
        <v>21</v>
      </c>
      <c r="B22" t="s">
        <v>224</v>
      </c>
      <c r="C22" t="s">
        <v>486</v>
      </c>
      <c r="D22" t="s">
        <v>487</v>
      </c>
    </row>
    <row r="23" spans="1:4" x14ac:dyDescent="0.2">
      <c r="A23">
        <v>22</v>
      </c>
      <c r="B23" t="s">
        <v>225</v>
      </c>
      <c r="C23" t="s">
        <v>488</v>
      </c>
      <c r="D23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Chase Kusterer</cp:lastModifiedBy>
  <dcterms:created xsi:type="dcterms:W3CDTF">2025-11-22T15:27:48Z</dcterms:created>
  <dcterms:modified xsi:type="dcterms:W3CDTF">2026-01-12T22:07:44Z</dcterms:modified>
</cp:coreProperties>
</file>